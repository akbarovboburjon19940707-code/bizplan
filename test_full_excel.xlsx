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2760" yWindow="32760" windowWidth="20490" windowHeight="9675" tabRatio="856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ProjCost" sheetId="2" state="visible" r:id="rId2"/>
    <sheet xmlns:r="http://schemas.openxmlformats.org/officeDocument/2006/relationships" name="FinPlan" sheetId="3" state="visible" r:id="rId3"/>
    <sheet xmlns:r="http://schemas.openxmlformats.org/officeDocument/2006/relationships" name="Share of Costs" sheetId="4" state="visible" r:id="rId4"/>
    <sheet xmlns:r="http://schemas.openxmlformats.org/officeDocument/2006/relationships" name="Depreciate" sheetId="5" state="visible" r:id="rId5"/>
    <sheet xmlns:r="http://schemas.openxmlformats.org/officeDocument/2006/relationships" name="Labour" sheetId="6" state="visible" r:id="rId6"/>
    <sheet xmlns:r="http://schemas.openxmlformats.org/officeDocument/2006/relationships" name="ProdPlan" sheetId="7" state="visible" r:id="rId7"/>
    <sheet xmlns:r="http://schemas.openxmlformats.org/officeDocument/2006/relationships" name="Loans" sheetId="8" state="visible" r:id="rId8"/>
    <sheet xmlns:r="http://schemas.openxmlformats.org/officeDocument/2006/relationships" name="Taxes" sheetId="9" state="visible" r:id="rId9"/>
    <sheet xmlns:r="http://schemas.openxmlformats.org/officeDocument/2006/relationships" name="Loans 2" sheetId="10" state="hidden" r:id="rId10"/>
    <sheet xmlns:r="http://schemas.openxmlformats.org/officeDocument/2006/relationships" name="CostTotal" sheetId="11" state="visible" r:id="rId11"/>
    <sheet xmlns:r="http://schemas.openxmlformats.org/officeDocument/2006/relationships" name="CostSold" sheetId="12" state="visible" r:id="rId12"/>
    <sheet xmlns:r="http://schemas.openxmlformats.org/officeDocument/2006/relationships" name="ProfLoss" sheetId="13" state="visible" r:id="rId13"/>
    <sheet xmlns:r="http://schemas.openxmlformats.org/officeDocument/2006/relationships" name="CashFlow" sheetId="14" state="visible" r:id="rId14"/>
    <sheet xmlns:r="http://schemas.openxmlformats.org/officeDocument/2006/relationships" name="npv" sheetId="15" state="visible" r:id="rId15"/>
  </sheets>
  <externalReferences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Амортизац">#REF!</definedName>
    <definedName name="Дата_первой_выплаты">#REF!</definedName>
    <definedName name="Кредит_Б__в_USD">#REF!</definedName>
    <definedName name="Курс_0198">'[1]Поток реальных денег'!#REF!</definedName>
    <definedName name="Курс_USD">#REF!</definedName>
    <definedName name="Льготный_период">#REF!</definedName>
    <definedName name="Местные_продажи">#REF!</definedName>
    <definedName name="Объем">#REF!</definedName>
    <definedName name="объем100">#REF!</definedName>
    <definedName name="П\роцентная_ставка">#REF!</definedName>
    <definedName name="процент_на_маркетинг">#REF!</definedName>
    <definedName name="Срок_пользования_кредитом">#REF!</definedName>
    <definedName name="ст.пр.">#REF!</definedName>
    <definedName name="ЦенаЗаЕд.">#REF!</definedName>
    <definedName name="ценмест">#REF!</definedName>
    <definedName name="ценэксп">#REF!</definedName>
    <definedName name="Экспорт">#REF!</definedName>
    <definedName name="_xlnm.Print_Area" localSheetId="1">ProjCost!$B$1:$G$13</definedName>
    <definedName name="_xlnm.Print_Area" localSheetId="2">FinPlan!$B$1:$G$10</definedName>
    <definedName name="_xlnm.Print_Area" localSheetId="3">'Share of Costs'!$B$2:$G$15</definedName>
    <definedName name="_xlnm.Print_Area" localSheetId="4">Depreciate!$A$1:$K$9</definedName>
    <definedName name="_xlnm.Print_Area" localSheetId="5">Labour!$A$2:$F$33</definedName>
    <definedName name="_xlnm.Print_Area" localSheetId="6">ProdPlan!$A$1:$I$58</definedName>
    <definedName name="_xlnm.Print_Area" localSheetId="7">Loans!$A$1:$F$96</definedName>
    <definedName name="_xlnm.Print_Area" localSheetId="8">Taxes!$B$1:$K$17</definedName>
    <definedName name="_xlnm.Print_Area" localSheetId="10">CostTotal!$B$1:$G$19</definedName>
    <definedName name="_xlnm.Print_Area" localSheetId="11">CostSold!$B$1:$I$21</definedName>
    <definedName name="_xlnm.Print_Area" localSheetId="12">ProfLoss!$A$1:$I$20</definedName>
    <definedName name="_xlnm.Print_Area" localSheetId="13">CashFlow!$B$1:$J$27</definedName>
    <definedName name="_xlnm.Print_Area" localSheetId="14">npv!$B$3:$E$19</definedName>
    <definedName name="Курс_USD" localSheetId="14">#REF!</definedName>
    <definedName name="Льготный_период" localSheetId="14">#REF!</definedName>
    <definedName name="Объем" localSheetId="14">#REF!</definedName>
    <definedName name="объем100" localSheetId="14">#REF!</definedName>
  </definedNames>
  <calcPr calcId="145621" fullCalcOnLoad="1"/>
</workbook>
</file>

<file path=xl/styles.xml><?xml version="1.0" encoding="utf-8"?>
<styleSheet xmlns="http://schemas.openxmlformats.org/spreadsheetml/2006/main">
  <numFmts count="17">
    <numFmt numFmtId="164" formatCode="0.0%"/>
    <numFmt numFmtId="165" formatCode="#,##0.00_ ;\-#,##0.00\ "/>
    <numFmt numFmtId="166" formatCode="_-* #,##0_р_._-;\-* #,##0_р_._-;_-* &quot;-&quot;_р_._-;_-@_-"/>
    <numFmt numFmtId="167" formatCode="#,##0_ ;\-#,##0\ "/>
    <numFmt numFmtId="168" formatCode="#,##0_);[Red]\(#,##0\)"/>
    <numFmt numFmtId="169" formatCode="_-* #,##0_р_._-;\-* #,##0_р_._-;_-* &quot;-&quot;??_р_._-;_-@_-"/>
    <numFmt numFmtId="170" formatCode="#,##0_р_."/>
    <numFmt numFmtId="171" formatCode="_-* #,##0.00_р_._-;\-* #,##0.00_р_._-;_-* &quot;-&quot;??_р_._-;_-@_-"/>
    <numFmt numFmtId="172" formatCode="_-* #,##0.0_р_._-;\-* #,##0.0_р_._-;_-* &quot;-&quot;??_р_._-;_-@_-"/>
    <numFmt numFmtId="173" formatCode="_-* #,##0.0_р_._-;\-* #,##0.0_р_._-;_-* &quot;-&quot;?_р_._-;_-@_-"/>
    <numFmt numFmtId="174" formatCode="#,##0.0_р_."/>
    <numFmt numFmtId="175" formatCode="_-* #,##0.000_р_._-;\-* #,##0.000_р_._-;_-* &quot;-&quot;?_р_._-;_-@_-"/>
    <numFmt numFmtId="176" formatCode="0.0"/>
    <numFmt numFmtId="177" formatCode="_-* #,##0.000_р_._-;\-* #,##0.000_р_._-;_-* &quot;-&quot;_р_._-;_-@_-"/>
    <numFmt numFmtId="178" formatCode="#,##0.00_р_."/>
    <numFmt numFmtId="179" formatCode="#,##0.000"/>
    <numFmt numFmtId="180" formatCode="#,##0.00\ &quot;₽&quot;;[Red]\-#,##0.00\ &quot;₽&quot;"/>
  </numFmts>
  <fonts count="62">
    <font>
      <name val="Times New Roman"/>
      <charset val="204"/>
      <sz val="12"/>
    </font>
    <font>
      <name val="Calibri"/>
      <charset val="204"/>
      <family val="2"/>
      <color indexed="8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sz val="8"/>
    </font>
    <font>
      <name val="Times New Roman"/>
      <charset val="204"/>
      <family val="1"/>
      <color indexed="12"/>
      <sz val="11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indexed="12"/>
      <sz val="12"/>
    </font>
    <font>
      <name val="Times New Roman"/>
      <charset val="204"/>
      <family val="1"/>
      <i val="1"/>
      <color indexed="12"/>
      <sz val="11"/>
    </font>
    <font>
      <name val="Arial Cyr"/>
      <charset val="204"/>
      <sz val="10"/>
    </font>
    <font>
      <name val="Arial Cyr"/>
      <charset val="204"/>
      <family val="2"/>
      <sz val="10"/>
    </font>
    <font>
      <name val="Arial Cyr"/>
      <charset val="204"/>
      <family val="2"/>
      <sz val="12"/>
    </font>
    <font>
      <name val="Times New Roman Cyr"/>
      <charset val="204"/>
      <family val="1"/>
      <sz val="10"/>
    </font>
    <font>
      <name val="Times New Roman"/>
      <charset val="204"/>
      <family val="1"/>
      <b val="1"/>
      <color indexed="12"/>
      <sz val="11"/>
    </font>
    <font>
      <name val="Times New Roman"/>
      <charset val="204"/>
      <family val="1"/>
      <b val="1"/>
      <sz val="14"/>
    </font>
    <font>
      <name val="Times New Roman"/>
      <charset val="204"/>
      <family val="1"/>
      <i val="1"/>
      <sz val="12"/>
    </font>
    <font>
      <name val="Times New Roman"/>
      <charset val="204"/>
      <family val="1"/>
      <b val="1"/>
      <i val="1"/>
      <color indexed="12"/>
      <sz val="11"/>
    </font>
    <font>
      <name val="Times New Roman"/>
      <charset val="204"/>
      <family val="1"/>
      <sz val="10"/>
    </font>
    <font>
      <name val="Times New Roman"/>
      <charset val="204"/>
      <family val="1"/>
      <sz val="9"/>
    </font>
    <font>
      <name val="Times New Roman"/>
      <charset val="204"/>
      <family val="1"/>
      <color indexed="12"/>
      <sz val="9"/>
    </font>
    <font>
      <name val="Times New Roman"/>
      <charset val="204"/>
      <family val="1"/>
      <b val="1"/>
      <i val="1"/>
      <sz val="12"/>
    </font>
    <font>
      <name val="Times New Roman Cyr"/>
      <charset val="204"/>
      <family val="1"/>
      <b val="1"/>
      <sz val="12"/>
    </font>
    <font>
      <name val="Times New Roman Cyr"/>
      <charset val="204"/>
      <family val="1"/>
      <i val="1"/>
      <sz val="12"/>
    </font>
    <font>
      <name val="Times New Roman Cyr"/>
      <charset val="204"/>
      <family val="1"/>
      <sz val="12"/>
    </font>
    <font>
      <name val="Times New Roman Cyr"/>
      <charset val="204"/>
      <family val="1"/>
      <sz val="11"/>
    </font>
    <font>
      <name val="Times New Roman Cyr"/>
      <charset val="204"/>
      <family val="1"/>
      <sz val="8"/>
    </font>
    <font>
      <name val="Times New Roman Cyr"/>
      <charset val="204"/>
      <family val="1"/>
      <sz val="12.5"/>
    </font>
    <font>
      <name val="Times New Roman Cyr"/>
      <charset val="204"/>
      <family val="1"/>
      <b val="1"/>
      <sz val="12.5"/>
    </font>
    <font>
      <name val="Times New Roman"/>
      <charset val="204"/>
      <family val="1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12"/>
      <sz val="12"/>
    </font>
    <font>
      <name val="Times New Roman"/>
      <charset val="204"/>
      <family val="1"/>
      <b val="1"/>
      <color indexed="39"/>
      <sz val="12"/>
    </font>
    <font>
      <name val="Arial Cyr"/>
      <charset val="204"/>
      <sz val="12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6"/>
    </font>
    <font>
      <name val="Times New Roman Cyr"/>
      <charset val="204"/>
      <family val="1"/>
      <b val="1"/>
      <sz val="16"/>
    </font>
    <font>
      <name val="Times New Roman Cyr"/>
      <charset val="204"/>
      <family val="1"/>
      <b val="1"/>
      <sz val="11"/>
    </font>
    <font>
      <name val="Times New Roman Cyr"/>
      <charset val="204"/>
      <i val="1"/>
      <sz val="12"/>
    </font>
    <font>
      <name val="Times New Roman Cyr"/>
      <charset val="204"/>
      <b val="1"/>
      <sz val="12.5"/>
    </font>
    <font>
      <name val="Times New Roman Cyr"/>
      <charset val="204"/>
      <sz val="12.5"/>
    </font>
    <font>
      <name val="Arial"/>
      <charset val="162"/>
      <family val="2"/>
      <sz val="10"/>
    </font>
    <font>
      <name val="Arial"/>
      <charset val="204"/>
      <family val="2"/>
      <sz val="10"/>
    </font>
    <font>
      <name val="Times New Roman Cyr"/>
      <charset val="204"/>
      <b val="1"/>
      <sz val="12"/>
    </font>
    <font>
      <name val="Times New Roman Cyr"/>
      <charset val="204"/>
      <b val="1"/>
      <sz val="11"/>
    </font>
    <font>
      <name val="Times New Roman"/>
      <charset val="204"/>
      <family val="1"/>
      <b val="1"/>
      <sz val="13"/>
    </font>
    <font>
      <name val="Times New Roman"/>
      <charset val="204"/>
      <family val="1"/>
      <i val="1"/>
      <sz val="10"/>
    </font>
    <font>
      <name val="Times New Roman"/>
      <charset val="204"/>
      <family val="1"/>
      <color indexed="12"/>
      <sz val="10"/>
    </font>
    <font>
      <name val="Times New Roman"/>
      <charset val="204"/>
      <family val="1"/>
      <b val="1"/>
      <color indexed="12"/>
      <sz val="10"/>
    </font>
    <font>
      <name val="Times New Roman"/>
      <charset val="204"/>
      <family val="1"/>
      <i val="1"/>
      <sz val="16"/>
    </font>
    <font>
      <name val="Times New Roman"/>
      <charset val="204"/>
      <family val="1"/>
      <b val="1"/>
      <color rgb="FFFF0000"/>
      <sz val="9"/>
    </font>
    <font>
      <name val="Calibri"/>
      <charset val="204"/>
      <family val="2"/>
      <sz val="11"/>
    </font>
    <font>
      <name val="Times New Roman"/>
      <charset val="204"/>
      <family val="1"/>
      <b val="1"/>
      <color indexed="12"/>
      <sz val="9"/>
    </font>
    <font>
      <name val="Times New Roman"/>
      <charset val="204"/>
      <family val="1"/>
      <b val="1"/>
      <color indexed="12"/>
      <sz val="8"/>
    </font>
    <font>
      <name val="Times New Roman"/>
      <charset val="204"/>
      <family val="1"/>
      <color indexed="12"/>
      <sz val="8"/>
    </font>
    <font>
      <name val="Times New Roman"/>
      <charset val="204"/>
      <family val="1"/>
      <b val="1"/>
      <i val="1"/>
      <color indexed="12"/>
      <sz val="9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  <fill>
      <patternFill patternType="solid">
        <fgColor rgb="00D5F5E3"/>
        <bgColor rgb="00D5F5E3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8">
    <xf numFmtId="0" fontId="0" fillId="0" borderId="0"/>
    <xf numFmtId="0" fontId="44" fillId="0" borderId="0"/>
    <xf numFmtId="0" fontId="1" fillId="0" borderId="0"/>
    <xf numFmtId="0" fontId="45" fillId="0" borderId="0"/>
    <xf numFmtId="0" fontId="12" fillId="0" borderId="0"/>
    <xf numFmtId="9" fontId="31" fillId="0" borderId="0"/>
    <xf numFmtId="171" fontId="31" fillId="0" borderId="0"/>
    <xf numFmtId="166" fontId="31" fillId="0" borderId="0"/>
  </cellStyleXfs>
  <cellXfs count="557">
    <xf numFmtId="0" fontId="0" fillId="0" borderId="0" pivotButton="0" quotePrefix="0" xfId="0"/>
    <xf numFmtId="0" fontId="3" fillId="0" borderId="1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0" fontId="3" fillId="0" borderId="2" pivotButton="0" quotePrefix="0" xfId="0"/>
    <xf numFmtId="0" fontId="3" fillId="0" borderId="3" pivotButton="0" quotePrefix="0" xfId="0"/>
    <xf numFmtId="0" fontId="3" fillId="0" borderId="0" applyAlignment="1" pivotButton="0" quotePrefix="0" xfId="0">
      <alignment horizontal="center"/>
    </xf>
    <xf numFmtId="14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4" fillId="0" borderId="0" pivotButton="0" quotePrefix="0" xfId="0"/>
    <xf numFmtId="9" fontId="7" fillId="0" borderId="1" applyAlignment="1" pivotButton="0" quotePrefix="0" xfId="0">
      <alignment horizontal="center" vertical="center"/>
    </xf>
    <xf numFmtId="38" fontId="7" fillId="0" borderId="1" pivotButton="0" quotePrefix="0" xfId="0"/>
    <xf numFmtId="0" fontId="3" fillId="0" borderId="14" applyAlignment="1" pivotButton="0" quotePrefix="0" xfId="0">
      <alignment horizontal="center"/>
    </xf>
    <xf numFmtId="0" fontId="14" fillId="0" borderId="0" pivotButton="0" quotePrefix="0" xfId="4"/>
    <xf numFmtId="0" fontId="3" fillId="0" borderId="16" applyAlignment="1" pivotButton="0" quotePrefix="0" xfId="0">
      <alignment horizontal="centerContinuous" wrapText="1"/>
    </xf>
    <xf numFmtId="0" fontId="9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wrapText="1"/>
    </xf>
    <xf numFmtId="0" fontId="3" fillId="0" borderId="4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Continuous"/>
    </xf>
    <xf numFmtId="0" fontId="8" fillId="0" borderId="0" pivotButton="0" quotePrefix="0" xfId="0"/>
    <xf numFmtId="0" fontId="18" fillId="0" borderId="0" pivotButton="0" quotePrefix="0" xfId="0"/>
    <xf numFmtId="0" fontId="7" fillId="0" borderId="5" applyAlignment="1" pivotButton="0" quotePrefix="0" xfId="0">
      <alignment wrapText="1"/>
    </xf>
    <xf numFmtId="38" fontId="7" fillId="0" borderId="17" applyAlignment="1" pivotButton="0" quotePrefix="0" xfId="0">
      <alignment wrapText="1"/>
    </xf>
    <xf numFmtId="38" fontId="16" fillId="0" borderId="17" applyAlignment="1" pivotButton="0" quotePrefix="0" xfId="0">
      <alignment wrapText="1"/>
    </xf>
    <xf numFmtId="0" fontId="7" fillId="0" borderId="18" applyAlignment="1" pivotButton="0" quotePrefix="0" xfId="0">
      <alignment wrapText="1"/>
    </xf>
    <xf numFmtId="38" fontId="16" fillId="0" borderId="1" applyAlignment="1" pivotButton="0" quotePrefix="0" xfId="0">
      <alignment wrapText="1"/>
    </xf>
    <xf numFmtId="0" fontId="7" fillId="0" borderId="17" applyAlignment="1" pivotButton="0" quotePrefix="0" xfId="0">
      <alignment wrapText="1"/>
    </xf>
    <xf numFmtId="3" fontId="7" fillId="0" borderId="5" applyAlignment="1" pivotButton="0" quotePrefix="0" xfId="0">
      <alignment wrapText="1"/>
    </xf>
    <xf numFmtId="3" fontId="7" fillId="0" borderId="17" applyAlignment="1" pivotButton="0" quotePrefix="0" xfId="0">
      <alignment wrapText="1"/>
    </xf>
    <xf numFmtId="3" fontId="7" fillId="0" borderId="18" applyAlignment="1" pivotButton="0" quotePrefix="0" xfId="0">
      <alignment wrapText="1"/>
    </xf>
    <xf numFmtId="0" fontId="3" fillId="0" borderId="19" applyAlignment="1" pivotButton="0" quotePrefix="0" xfId="0">
      <alignment horizontal="left" vertical="center" wrapText="1"/>
    </xf>
    <xf numFmtId="0" fontId="3" fillId="0" borderId="19" applyAlignment="1" pivotButton="0" quotePrefix="0" xfId="0">
      <alignment wrapText="1"/>
    </xf>
    <xf numFmtId="0" fontId="4" fillId="0" borderId="0" applyAlignment="1" pivotButton="0" quotePrefix="0" xfId="0">
      <alignment horizontal="centerContinuous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right" vertical="center"/>
    </xf>
    <xf numFmtId="0" fontId="26" fillId="0" borderId="0" pivotButton="0" quotePrefix="0" xfId="0"/>
    <xf numFmtId="0" fontId="20" fillId="0" borderId="0" pivotButton="0" quotePrefix="0" xfId="4"/>
    <xf numFmtId="2" fontId="20" fillId="0" borderId="0" pivotButton="0" quotePrefix="0" xfId="4"/>
    <xf numFmtId="0" fontId="4" fillId="2" borderId="1" applyAlignment="1" pivotButton="0" quotePrefix="0" xfId="4">
      <alignment horizontal="center" vertical="center" wrapText="1"/>
    </xf>
    <xf numFmtId="9" fontId="31" fillId="0" borderId="0" pivotButton="0" quotePrefix="0" xfId="4"/>
    <xf numFmtId="0" fontId="31" fillId="0" borderId="22" pivotButton="0" quotePrefix="0" xfId="4"/>
    <xf numFmtId="0" fontId="4" fillId="0" borderId="23" applyAlignment="1" pivotButton="0" quotePrefix="0" xfId="4">
      <alignment horizontal="center" vertical="center" wrapText="1"/>
    </xf>
    <xf numFmtId="0" fontId="4" fillId="0" borderId="24" applyAlignment="1" pivotButton="0" quotePrefix="0" xfId="4">
      <alignment horizontal="center" vertical="center" wrapText="1"/>
    </xf>
    <xf numFmtId="0" fontId="31" fillId="0" borderId="9" applyAlignment="1" pivotButton="0" quotePrefix="0" xfId="4">
      <alignment horizontal="center" vertical="center"/>
    </xf>
    <xf numFmtId="0" fontId="31" fillId="0" borderId="25" applyAlignment="1" pivotButton="0" quotePrefix="0" xfId="4">
      <alignment wrapText="1"/>
    </xf>
    <xf numFmtId="3" fontId="31" fillId="0" borderId="5" applyAlignment="1" pivotButton="0" quotePrefix="0" xfId="4">
      <alignment horizontal="right" vertical="center" wrapText="1"/>
    </xf>
    <xf numFmtId="3" fontId="31" fillId="0" borderId="21" applyAlignment="1" pivotButton="0" quotePrefix="0" xfId="6">
      <alignment vertical="center"/>
    </xf>
    <xf numFmtId="3" fontId="31" fillId="0" borderId="17" applyAlignment="1" pivotButton="0" quotePrefix="0" xfId="4">
      <alignment horizontal="right" vertical="center" wrapText="1"/>
    </xf>
    <xf numFmtId="3" fontId="31" fillId="0" borderId="26" applyAlignment="1" pivotButton="0" quotePrefix="0" xfId="6">
      <alignment vertical="center"/>
    </xf>
    <xf numFmtId="3" fontId="31" fillId="0" borderId="0" applyAlignment="1" pivotButton="0" quotePrefix="0" xfId="4">
      <alignment horizontal="right" vertical="center" wrapText="1"/>
    </xf>
    <xf numFmtId="0" fontId="31" fillId="0" borderId="27" pivotButton="0" quotePrefix="0" xfId="4"/>
    <xf numFmtId="0" fontId="4" fillId="0" borderId="28" pivotButton="0" quotePrefix="0" xfId="4"/>
    <xf numFmtId="3" fontId="23" fillId="0" borderId="11" applyAlignment="1" pivotButton="0" quotePrefix="0" xfId="4">
      <alignment horizontal="right"/>
    </xf>
    <xf numFmtId="3" fontId="4" fillId="0" borderId="10" applyAlignment="1" pivotButton="0" quotePrefix="0" xfId="6">
      <alignment vertical="center"/>
    </xf>
    <xf numFmtId="0" fontId="31" fillId="0" borderId="0" pivotButton="0" quotePrefix="0" xfId="4"/>
    <xf numFmtId="0" fontId="31" fillId="0" borderId="29" pivotButton="0" quotePrefix="0" xfId="4"/>
    <xf numFmtId="0" fontId="4" fillId="0" borderId="30" pivotButton="0" quotePrefix="0" xfId="4"/>
    <xf numFmtId="3" fontId="31" fillId="0" borderId="0" pivotButton="0" quotePrefix="0" xfId="4"/>
    <xf numFmtId="0" fontId="4" fillId="0" borderId="31" applyAlignment="1" pivotButton="0" quotePrefix="0" xfId="4">
      <alignment vertical="center" wrapText="1"/>
    </xf>
    <xf numFmtId="3" fontId="4" fillId="0" borderId="7" applyAlignment="1" pivotButton="0" quotePrefix="0" xfId="4">
      <alignment horizontal="center" vertical="center" wrapText="1"/>
    </xf>
    <xf numFmtId="3" fontId="31" fillId="0" borderId="1" applyAlignment="1" pivotButton="0" quotePrefix="0" xfId="4">
      <alignment horizontal="right" vertical="center" wrapText="1"/>
    </xf>
    <xf numFmtId="3" fontId="31" fillId="0" borderId="10" applyAlignment="1" pivotButton="0" quotePrefix="0" xfId="6">
      <alignment vertical="center"/>
    </xf>
    <xf numFmtId="0" fontId="31" fillId="0" borderId="32" pivotButton="0" quotePrefix="0" xfId="4"/>
    <xf numFmtId="0" fontId="4" fillId="0" borderId="25" pivotButton="0" quotePrefix="0" xfId="4"/>
    <xf numFmtId="3" fontId="23" fillId="0" borderId="1" applyAlignment="1" pivotButton="0" quotePrefix="0" xfId="4">
      <alignment horizontal="right"/>
    </xf>
    <xf numFmtId="10" fontId="31" fillId="0" borderId="0" pivotButton="0" quotePrefix="0" xfId="4"/>
    <xf numFmtId="0" fontId="4" fillId="0" borderId="0" pivotButton="0" quotePrefix="0" xfId="4"/>
    <xf numFmtId="3" fontId="23" fillId="0" borderId="0" applyAlignment="1" pivotButton="0" quotePrefix="0" xfId="4">
      <alignment horizontal="right"/>
    </xf>
    <xf numFmtId="3" fontId="4" fillId="0" borderId="0" applyAlignment="1" pivotButton="0" quotePrefix="0" xfId="6">
      <alignment vertical="center"/>
    </xf>
    <xf numFmtId="0" fontId="4" fillId="0" borderId="33" pivotButton="0" quotePrefix="0" xfId="4"/>
    <xf numFmtId="3" fontId="23" fillId="0" borderId="7" applyAlignment="1" pivotButton="0" quotePrefix="0" xfId="4">
      <alignment horizontal="center" wrapText="1"/>
    </xf>
    <xf numFmtId="3" fontId="4" fillId="0" borderId="8" applyAlignment="1" pivotButton="0" quotePrefix="0" xfId="6">
      <alignment vertical="center"/>
    </xf>
    <xf numFmtId="0" fontId="31" fillId="0" borderId="9" pivotButton="0" quotePrefix="0" xfId="4"/>
    <xf numFmtId="0" fontId="31" fillId="0" borderId="16" pivotButton="0" quotePrefix="0" xfId="4"/>
    <xf numFmtId="3" fontId="4" fillId="0" borderId="21" applyAlignment="1" pivotButton="0" quotePrefix="0" xfId="6">
      <alignment vertical="center"/>
    </xf>
    <xf numFmtId="3" fontId="4" fillId="0" borderId="26" applyAlignment="1" pivotButton="0" quotePrefix="0" xfId="6">
      <alignment vertical="center"/>
    </xf>
    <xf numFmtId="0" fontId="31" fillId="0" borderId="20" pivotButton="0" quotePrefix="0" xfId="4"/>
    <xf numFmtId="0" fontId="23" fillId="0" borderId="34" pivotButton="0" quotePrefix="0" xfId="4"/>
    <xf numFmtId="3" fontId="4" fillId="0" borderId="35" applyAlignment="1" pivotButton="0" quotePrefix="0" xfId="6">
      <alignment vertical="center"/>
    </xf>
    <xf numFmtId="0" fontId="31" fillId="0" borderId="36" pivotButton="0" quotePrefix="0" xfId="4"/>
    <xf numFmtId="0" fontId="4" fillId="0" borderId="33" applyAlignment="1" pivotButton="0" quotePrefix="0" xfId="4">
      <alignment horizontal="center" wrapText="1"/>
    </xf>
    <xf numFmtId="3" fontId="4" fillId="0" borderId="8" applyAlignment="1" pivotButton="0" quotePrefix="0" xfId="6">
      <alignment horizontal="center" vertical="center" wrapText="1"/>
    </xf>
    <xf numFmtId="0" fontId="31" fillId="0" borderId="1" pivotButton="0" quotePrefix="0" xfId="4"/>
    <xf numFmtId="3" fontId="31" fillId="0" borderId="1" applyAlignment="1" pivotButton="0" quotePrefix="0" xfId="4">
      <alignment horizontal="right"/>
    </xf>
    <xf numFmtId="3" fontId="4" fillId="0" borderId="13" applyAlignment="1" pivotButton="0" quotePrefix="0" xfId="6">
      <alignment vertical="center"/>
    </xf>
    <xf numFmtId="3" fontId="31" fillId="0" borderId="18" applyAlignment="1" pivotButton="0" quotePrefix="0" xfId="4">
      <alignment horizontal="right" vertical="center" wrapText="1"/>
    </xf>
    <xf numFmtId="3" fontId="31" fillId="0" borderId="35" applyAlignment="1" pivotButton="0" quotePrefix="0" xfId="6">
      <alignment vertical="center"/>
    </xf>
    <xf numFmtId="0" fontId="31" fillId="0" borderId="27" applyAlignment="1" pivotButton="0" quotePrefix="0" xfId="4">
      <alignment horizontal="centerContinuous" vertical="center"/>
    </xf>
    <xf numFmtId="0" fontId="4" fillId="0" borderId="37" applyAlignment="1" pivotButton="0" quotePrefix="0" xfId="4">
      <alignment horizontal="centerContinuous" vertical="center"/>
    </xf>
    <xf numFmtId="0" fontId="23" fillId="2" borderId="0" pivotButton="0" quotePrefix="0" xfId="4"/>
    <xf numFmtId="0" fontId="31" fillId="2" borderId="0" pivotButton="0" quotePrefix="0" xfId="4"/>
    <xf numFmtId="9" fontId="31" fillId="2" borderId="0" pivotButton="0" quotePrefix="0" xfId="4"/>
    <xf numFmtId="4" fontId="18" fillId="2" borderId="0" pivotButton="0" quotePrefix="0" xfId="4"/>
    <xf numFmtId="0" fontId="36" fillId="0" borderId="0" pivotButton="0" quotePrefix="0" xfId="4"/>
    <xf numFmtId="3" fontId="4" fillId="2" borderId="1" applyAlignment="1" pivotButton="0" quotePrefix="0" xfId="4">
      <alignment horizontal="right" vertical="center"/>
    </xf>
    <xf numFmtId="0" fontId="31" fillId="2" borderId="0" applyAlignment="1" pivotButton="0" quotePrefix="0" xfId="4">
      <alignment horizontal="centerContinuous"/>
    </xf>
    <xf numFmtId="14" fontId="3" fillId="0" borderId="19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38" pivotButton="0" quotePrefix="0" xfId="0"/>
    <xf numFmtId="0" fontId="3" fillId="0" borderId="39" pivotButton="0" quotePrefix="0" xfId="0"/>
    <xf numFmtId="0" fontId="7" fillId="0" borderId="40" pivotButton="0" quotePrefix="0" xfId="0"/>
    <xf numFmtId="0" fontId="3" fillId="0" borderId="40" pivotButton="0" quotePrefix="0" xfId="0"/>
    <xf numFmtId="0" fontId="4" fillId="0" borderId="41" pivotButton="0" quotePrefix="0" xfId="0"/>
    <xf numFmtId="0" fontId="3" fillId="0" borderId="42" pivotButton="0" quotePrefix="0" xfId="0"/>
    <xf numFmtId="0" fontId="3" fillId="0" borderId="43" applyAlignment="1" pivotButton="0" quotePrefix="0" xfId="0">
      <alignment horizontal="right"/>
    </xf>
    <xf numFmtId="0" fontId="3" fillId="0" borderId="44" applyAlignment="1" pivotButton="0" quotePrefix="0" xfId="0">
      <alignment horizontal="right"/>
    </xf>
    <xf numFmtId="0" fontId="38" fillId="0" borderId="0" pivotButton="0" quotePrefix="0" xfId="0"/>
    <xf numFmtId="0" fontId="39" fillId="0" borderId="0" applyAlignment="1" pivotButton="0" quotePrefix="0" xfId="0">
      <alignment vertical="center"/>
    </xf>
    <xf numFmtId="0" fontId="3" fillId="0" borderId="4" applyAlignment="1" pivotButton="0" quotePrefix="0" xfId="0">
      <alignment wrapText="1"/>
    </xf>
    <xf numFmtId="38" fontId="5" fillId="0" borderId="45" applyAlignment="1" pivotButton="0" quotePrefix="0" xfId="0">
      <alignment horizontal="centerContinuous"/>
    </xf>
    <xf numFmtId="0" fontId="20" fillId="0" borderId="4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/>
    </xf>
    <xf numFmtId="0" fontId="20" fillId="0" borderId="48" applyAlignment="1" pivotButton="0" quotePrefix="0" xfId="0">
      <alignment horizontal="centerContinuous" vertical="center" wrapText="1"/>
    </xf>
    <xf numFmtId="0" fontId="20" fillId="0" borderId="43" applyAlignment="1" pivotButton="0" quotePrefix="0" xfId="0">
      <alignment horizontal="centerContinuous" vertical="center" wrapText="1"/>
    </xf>
    <xf numFmtId="0" fontId="3" fillId="0" borderId="49" applyAlignment="1" pivotButton="0" quotePrefix="0" xfId="0">
      <alignment horizontal="right"/>
    </xf>
    <xf numFmtId="38" fontId="24" fillId="0" borderId="1" applyAlignment="1" pivotButton="0" quotePrefix="0" xfId="7">
      <alignment vertical="center"/>
    </xf>
    <xf numFmtId="0" fontId="8" fillId="0" borderId="2" pivotButton="0" quotePrefix="0" xfId="0"/>
    <xf numFmtId="38" fontId="3" fillId="0" borderId="0" pivotButton="0" quotePrefix="0" xfId="0"/>
    <xf numFmtId="38" fontId="0" fillId="0" borderId="0" pivotButton="0" quotePrefix="0" xfId="0"/>
    <xf numFmtId="0" fontId="3" fillId="0" borderId="53" applyAlignment="1" pivotButton="0" quotePrefix="0" xfId="0">
      <alignment horizontal="center" vertical="center" wrapText="1"/>
    </xf>
    <xf numFmtId="0" fontId="3" fillId="3" borderId="19" applyAlignment="1" pivotButton="0" quotePrefix="0" xfId="0">
      <alignment horizontal="left" vertical="center" wrapText="1"/>
    </xf>
    <xf numFmtId="0" fontId="8" fillId="3" borderId="19" applyAlignment="1" pivotButton="0" quotePrefix="0" xfId="0">
      <alignment horizontal="right" vertical="center" wrapText="1"/>
    </xf>
    <xf numFmtId="38" fontId="42" fillId="0" borderId="1" pivotButton="0" quotePrefix="0" xfId="7"/>
    <xf numFmtId="0" fontId="3" fillId="0" borderId="42" applyAlignment="1" pivotButton="0" quotePrefix="0" xfId="0">
      <alignment horizontal="center" wrapText="1"/>
    </xf>
    <xf numFmtId="0" fontId="3" fillId="0" borderId="48" applyAlignment="1" pivotButton="0" quotePrefix="0" xfId="0">
      <alignment horizontal="center" wrapText="1"/>
    </xf>
    <xf numFmtId="0" fontId="22" fillId="0" borderId="48" applyAlignment="1" pivotButton="0" quotePrefix="0" xfId="0">
      <alignment horizontal="center"/>
    </xf>
    <xf numFmtId="0" fontId="8" fillId="0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3" fillId="0" borderId="54" applyAlignment="1" pivotButton="0" quotePrefix="0" xfId="0">
      <alignment horizontal="left" wrapText="1"/>
    </xf>
    <xf numFmtId="0" fontId="4" fillId="0" borderId="55" applyAlignment="1" pivotButton="0" quotePrefix="0" xfId="0">
      <alignment horizontal="centerContinuous"/>
    </xf>
    <xf numFmtId="0" fontId="4" fillId="0" borderId="56" applyAlignment="1" pivotButton="0" quotePrefix="0" xfId="0">
      <alignment horizontal="centerContinuous"/>
    </xf>
    <xf numFmtId="0" fontId="4" fillId="0" borderId="57" applyAlignment="1" pivotButton="0" quotePrefix="0" xfId="0">
      <alignment horizontal="centerContinuous"/>
    </xf>
    <xf numFmtId="0" fontId="22" fillId="0" borderId="48" applyAlignment="1" pivotButton="0" quotePrefix="0" xfId="0">
      <alignment horizontal="center" wrapText="1"/>
    </xf>
    <xf numFmtId="0" fontId="5" fillId="0" borderId="19" applyAlignment="1" pivotButton="0" quotePrefix="0" xfId="0">
      <alignment wrapText="1"/>
    </xf>
    <xf numFmtId="0" fontId="3" fillId="0" borderId="54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3" fillId="0" borderId="42" applyAlignment="1" pivotButton="0" quotePrefix="0" xfId="0">
      <alignment horizontal="center"/>
    </xf>
    <xf numFmtId="0" fontId="5" fillId="0" borderId="4" pivotButton="0" quotePrefix="0" xfId="0"/>
    <xf numFmtId="0" fontId="3" fillId="0" borderId="19" applyAlignment="1" pivotButton="0" quotePrefix="0" xfId="0">
      <alignment horizontal="right"/>
    </xf>
    <xf numFmtId="0" fontId="5" fillId="0" borderId="19" pivotButton="0" quotePrefix="0" xfId="0"/>
    <xf numFmtId="0" fontId="3" fillId="0" borderId="59" applyAlignment="1" pivotButton="0" quotePrefix="0" xfId="0">
      <alignment horizontal="right" wrapText="1"/>
    </xf>
    <xf numFmtId="0" fontId="3" fillId="0" borderId="59" applyAlignment="1" pivotButton="0" quotePrefix="0" xfId="0">
      <alignment horizontal="right"/>
    </xf>
    <xf numFmtId="0" fontId="17" fillId="0" borderId="60" pivotButton="0" quotePrefix="0" xfId="0"/>
    <xf numFmtId="0" fontId="3" fillId="0" borderId="54" pivotButton="0" quotePrefix="0" xfId="0"/>
    <xf numFmtId="38" fontId="30" fillId="0" borderId="1" pivotButton="0" quotePrefix="0" xfId="7"/>
    <xf numFmtId="3" fontId="26" fillId="0" borderId="0" pivotButton="0" quotePrefix="0" xfId="0"/>
    <xf numFmtId="38" fontId="26" fillId="0" borderId="0" pivotButton="0" quotePrefix="0" xfId="0"/>
    <xf numFmtId="0" fontId="31" fillId="0" borderId="1" applyAlignment="1" pivotButton="0" quotePrefix="0" xfId="0">
      <alignment horizontal="center" vertical="center" wrapText="1"/>
    </xf>
    <xf numFmtId="0" fontId="31" fillId="0" borderId="14" applyAlignment="1" pivotButton="0" quotePrefix="0" xfId="0">
      <alignment horizontal="center" vertical="center" wrapText="1"/>
    </xf>
    <xf numFmtId="0" fontId="31" fillId="0" borderId="61" applyAlignment="1" pivotButton="0" quotePrefix="0" xfId="0">
      <alignment horizontal="center" vertical="center" wrapText="1"/>
    </xf>
    <xf numFmtId="0" fontId="31" fillId="0" borderId="3" applyAlignment="1" pivotButton="0" quotePrefix="0" xfId="0">
      <alignment horizontal="left" indent="2"/>
    </xf>
    <xf numFmtId="0" fontId="31" fillId="0" borderId="14" pivotButton="0" quotePrefix="0" xfId="0"/>
    <xf numFmtId="3" fontId="31" fillId="0" borderId="14" pivotButton="0" quotePrefix="0" xfId="0"/>
    <xf numFmtId="3" fontId="31" fillId="0" borderId="15" pivotButton="0" quotePrefix="0" xfId="0"/>
    <xf numFmtId="38" fontId="16" fillId="0" borderId="5" applyAlignment="1" pivotButton="0" quotePrefix="0" xfId="0">
      <alignment wrapText="1"/>
    </xf>
    <xf numFmtId="0" fontId="3" fillId="0" borderId="62" applyAlignment="1" pivotButton="0" quotePrefix="0" xfId="0">
      <alignment wrapText="1"/>
    </xf>
    <xf numFmtId="0" fontId="7" fillId="0" borderId="61" applyAlignment="1" pivotButton="0" quotePrefix="0" xfId="0">
      <alignment wrapText="1"/>
    </xf>
    <xf numFmtId="38" fontId="19" fillId="0" borderId="1" applyAlignment="1" pivotButton="0" quotePrefix="0" xfId="0">
      <alignment wrapText="1"/>
    </xf>
    <xf numFmtId="0" fontId="20" fillId="0" borderId="0" applyAlignment="1" pivotButton="0" quotePrefix="0" xfId="3">
      <alignment horizontal="center"/>
    </xf>
    <xf numFmtId="9" fontId="6" fillId="0" borderId="0" pivotButton="0" quotePrefix="0" xfId="3"/>
    <xf numFmtId="9" fontId="3" fillId="0" borderId="1" applyAlignment="1" pivotButton="0" quotePrefix="0" xfId="0">
      <alignment horizontal="center"/>
    </xf>
    <xf numFmtId="0" fontId="20" fillId="0" borderId="1" pivotButton="0" quotePrefix="0" xfId="0"/>
    <xf numFmtId="0" fontId="8" fillId="0" borderId="1" applyAlignment="1" pivotButton="0" quotePrefix="0" xfId="0">
      <alignment wrapText="1"/>
    </xf>
    <xf numFmtId="0" fontId="8" fillId="0" borderId="1" pivotButton="0" quotePrefix="0" xfId="0"/>
    <xf numFmtId="0" fontId="31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horizontal="center" vertical="center" wrapText="1"/>
    </xf>
    <xf numFmtId="0" fontId="31" fillId="0" borderId="2" pivotButton="0" quotePrefix="0" xfId="0"/>
    <xf numFmtId="3" fontId="31" fillId="0" borderId="49" applyAlignment="1" pivotButton="0" quotePrefix="0" xfId="0">
      <alignment horizontal="right" vertical="center" wrapText="1"/>
    </xf>
    <xf numFmtId="0" fontId="31" fillId="0" borderId="46" pivotButton="0" quotePrefix="0" xfId="0"/>
    <xf numFmtId="0" fontId="4" fillId="0" borderId="17" applyAlignment="1" pivotButton="0" quotePrefix="0" xfId="0">
      <alignment horizontal="centerContinuous" vertical="center" wrapText="1"/>
    </xf>
    <xf numFmtId="0" fontId="4" fillId="0" borderId="50" applyAlignment="1" pivotButton="0" quotePrefix="0" xfId="0">
      <alignment horizontal="centerContinuous" vertical="center" wrapText="1"/>
    </xf>
    <xf numFmtId="0" fontId="31" fillId="0" borderId="62" pivotButton="0" quotePrefix="0" xfId="0"/>
    <xf numFmtId="3" fontId="31" fillId="0" borderId="65" applyAlignment="1" pivotButton="0" quotePrefix="0" xfId="0">
      <alignment horizontal="right" vertical="center" wrapText="1"/>
    </xf>
    <xf numFmtId="0" fontId="22" fillId="0" borderId="66" applyAlignment="1" pivotButton="0" quotePrefix="0" xfId="0">
      <alignment horizontal="center"/>
    </xf>
    <xf numFmtId="0" fontId="31" fillId="0" borderId="0" applyAlignment="1" pivotButton="0" quotePrefix="0" xfId="0">
      <alignment horizontal="left" indent="2"/>
    </xf>
    <xf numFmtId="0" fontId="31" fillId="0" borderId="0" pivotButton="0" quotePrefix="0" xfId="0"/>
    <xf numFmtId="3" fontId="31" fillId="0" borderId="0" pivotButton="0" quotePrefix="0" xfId="0"/>
    <xf numFmtId="0" fontId="31" fillId="0" borderId="0" applyAlignment="1" pivotButton="0" quotePrefix="0" xfId="0">
      <alignment horizontal="right"/>
    </xf>
    <xf numFmtId="3" fontId="31" fillId="0" borderId="0" applyAlignment="1" pivotButton="0" quotePrefix="0" xfId="4">
      <alignment horizontal="right"/>
    </xf>
    <xf numFmtId="9" fontId="3" fillId="0" borderId="5" applyAlignment="1" pivotButton="0" quotePrefix="0" xfId="0">
      <alignment horizontal="center" vertical="center" wrapText="1"/>
    </xf>
    <xf numFmtId="9" fontId="3" fillId="0" borderId="17" applyAlignment="1" pivotButton="0" quotePrefix="0" xfId="0">
      <alignment horizontal="center" vertical="center" wrapText="1"/>
    </xf>
    <xf numFmtId="9" fontId="7" fillId="0" borderId="52" applyAlignment="1" pivotButton="0" quotePrefix="0" xfId="0">
      <alignment horizontal="center" vertical="center" wrapText="1"/>
    </xf>
    <xf numFmtId="38" fontId="5" fillId="0" borderId="68" applyAlignment="1" pivotButton="0" quotePrefix="0" xfId="0">
      <alignment horizontal="centerContinuous"/>
    </xf>
    <xf numFmtId="1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/>
    </xf>
    <xf numFmtId="38" fontId="16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8" fillId="0" borderId="1" applyAlignment="1" pivotButton="0" quotePrefix="0" xfId="0">
      <alignment horizontal="right" wrapText="1"/>
    </xf>
    <xf numFmtId="0" fontId="8" fillId="0" borderId="1" applyAlignment="1" pivotButton="0" quotePrefix="0" xfId="0">
      <alignment horizontal="right"/>
    </xf>
    <xf numFmtId="0" fontId="20" fillId="4" borderId="1" applyAlignment="1" pivotButton="0" quotePrefix="0" xfId="0">
      <alignment horizontal="center" vertical="center" wrapText="1"/>
    </xf>
    <xf numFmtId="1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" fontId="2" fillId="2" borderId="1" applyAlignment="1" pivotButton="0" quotePrefix="0" xfId="4">
      <alignment horizontal="left" vertical="center" wrapText="1"/>
    </xf>
    <xf numFmtId="4" fontId="34" fillId="2" borderId="1" applyAlignment="1" pivotButton="0" quotePrefix="0" xfId="4">
      <alignment horizontal="center" vertical="center"/>
    </xf>
    <xf numFmtId="3" fontId="31" fillId="2" borderId="1" applyAlignment="1" pivotButton="0" quotePrefix="0" xfId="4">
      <alignment horizontal="right" vertical="center"/>
    </xf>
    <xf numFmtId="3" fontId="23" fillId="2" borderId="1" applyAlignment="1" pivotButton="0" quotePrefix="0" xfId="4">
      <alignment horizontal="right" vertical="center"/>
    </xf>
    <xf numFmtId="0" fontId="4" fillId="2" borderId="1" applyAlignment="1" pivotButton="0" quotePrefix="0" xfId="4">
      <alignment horizontal="left" vertical="center" wrapText="1"/>
    </xf>
    <xf numFmtId="0" fontId="4" fillId="2" borderId="1" applyAlignment="1" pivotButton="0" quotePrefix="0" xfId="4">
      <alignment vertical="center" wrapText="1"/>
    </xf>
    <xf numFmtId="1" fontId="31" fillId="2" borderId="1" applyAlignment="1" pivotButton="0" quotePrefix="0" xfId="4">
      <alignment horizontal="left" vertical="center" wrapText="1"/>
    </xf>
    <xf numFmtId="0" fontId="3" fillId="2" borderId="1" applyAlignment="1" pivotButton="0" quotePrefix="0" xfId="4">
      <alignment horizontal="left" vertical="center" wrapText="1"/>
    </xf>
    <xf numFmtId="3" fontId="18" fillId="2" borderId="1" applyAlignment="1" pivotButton="0" quotePrefix="0" xfId="4">
      <alignment horizontal="right" vertical="center"/>
    </xf>
    <xf numFmtId="3" fontId="32" fillId="2" borderId="1" applyAlignment="1" pivotButton="0" quotePrefix="0" xfId="4">
      <alignment horizontal="right" vertical="center"/>
    </xf>
    <xf numFmtId="10" fontId="31" fillId="2" borderId="1" applyAlignment="1" pivotButton="0" quotePrefix="0" xfId="4">
      <alignment horizontal="right" vertical="center"/>
    </xf>
    <xf numFmtId="0" fontId="32" fillId="0" borderId="1" applyAlignment="1" pivotButton="0" quotePrefix="0" xfId="4">
      <alignment horizontal="center" vertical="center" wrapText="1"/>
    </xf>
    <xf numFmtId="9" fontId="31" fillId="2" borderId="1" applyAlignment="1" pivotButton="0" quotePrefix="0" xfId="4">
      <alignment horizontal="right" vertical="center"/>
    </xf>
    <xf numFmtId="1" fontId="26" fillId="0" borderId="1" applyAlignment="1" pivotButton="0" quotePrefix="0" xfId="0">
      <alignment horizontal="left" wrapText="1"/>
    </xf>
    <xf numFmtId="38" fontId="26" fillId="0" borderId="1" pivotButton="0" quotePrefix="0" xfId="7"/>
    <xf numFmtId="1" fontId="40" fillId="0" borderId="1" applyAlignment="1" pivotButton="0" quotePrefix="0" xfId="0">
      <alignment horizontal="left" vertical="center" wrapText="1"/>
    </xf>
    <xf numFmtId="1" fontId="40" fillId="0" borderId="1" applyAlignment="1" pivotButton="0" quotePrefix="0" xfId="0">
      <alignment horizontal="left" wrapText="1"/>
    </xf>
    <xf numFmtId="1" fontId="41" fillId="0" borderId="1" applyAlignment="1" pivotButton="0" quotePrefix="0" xfId="0">
      <alignment horizontal="right" wrapText="1"/>
    </xf>
    <xf numFmtId="38" fontId="29" fillId="0" borderId="1" applyAlignment="1" pivotButton="0" quotePrefix="0" xfId="7">
      <alignment horizontal="right"/>
    </xf>
    <xf numFmtId="38" fontId="29" fillId="0" borderId="1" pivotButton="0" quotePrefix="0" xfId="7"/>
    <xf numFmtId="38" fontId="43" fillId="0" borderId="1" pivotButton="0" quotePrefix="0" xfId="7"/>
    <xf numFmtId="1" fontId="24" fillId="0" borderId="1" applyAlignment="1" pivotButton="0" quotePrefix="0" xfId="0">
      <alignment horizontal="left" vertical="center" wrapText="1"/>
    </xf>
    <xf numFmtId="38" fontId="30" fillId="0" borderId="1" applyAlignment="1" pivotButton="0" quotePrefix="0" xfId="7">
      <alignment horizontal="right" vertical="center"/>
    </xf>
    <xf numFmtId="1" fontId="4" fillId="2" borderId="1" applyAlignment="1" pivotButton="0" quotePrefix="0" xfId="4">
      <alignment horizontal="left" vertical="center" wrapText="1"/>
    </xf>
    <xf numFmtId="3" fontId="31" fillId="0" borderId="30" applyAlignment="1" pivotButton="0" quotePrefix="0" xfId="4">
      <alignment horizontal="center" vertical="center" wrapText="1"/>
    </xf>
    <xf numFmtId="0" fontId="4" fillId="0" borderId="31" applyAlignment="1" pivotButton="0" quotePrefix="0" xfId="4">
      <alignment horizontal="center" vertical="center" wrapText="1"/>
    </xf>
    <xf numFmtId="3" fontId="31" fillId="0" borderId="5" applyAlignment="1" pivotButton="0" quotePrefix="0" xfId="4">
      <alignment horizontal="center" vertical="center" wrapText="1"/>
    </xf>
    <xf numFmtId="3" fontId="31" fillId="0" borderId="17" applyAlignment="1" pivotButton="0" quotePrefix="0" xfId="4">
      <alignment horizontal="center" vertical="center" wrapText="1"/>
    </xf>
    <xf numFmtId="0" fontId="31" fillId="0" borderId="25" applyAlignment="1" pivotButton="0" quotePrefix="0" xfId="4">
      <alignment horizontal="center" vertical="center" wrapText="1"/>
    </xf>
    <xf numFmtId="3" fontId="4" fillId="2" borderId="1" applyAlignment="1" pivotButton="0" quotePrefix="0" xfId="4">
      <alignment horizontal="center" vertical="center" wrapText="1"/>
    </xf>
    <xf numFmtId="9" fontId="2" fillId="2" borderId="1" applyAlignment="1" pivotButton="0" quotePrefix="0" xfId="4">
      <alignment horizontal="center" vertical="center" wrapText="1"/>
    </xf>
    <xf numFmtId="14" fontId="4" fillId="0" borderId="0" applyAlignment="1" pivotButton="0" quotePrefix="0" xfId="4">
      <alignment horizontal="center" vertical="center" wrapText="1"/>
    </xf>
    <xf numFmtId="0" fontId="31" fillId="0" borderId="22" applyAlignment="1" pivotButton="0" quotePrefix="0" xfId="4">
      <alignment horizontal="center" vertical="center" wrapText="1"/>
    </xf>
    <xf numFmtId="0" fontId="31" fillId="0" borderId="9" applyAlignment="1" pivotButton="0" quotePrefix="0" xfId="4">
      <alignment horizontal="center" vertical="center" wrapText="1"/>
    </xf>
    <xf numFmtId="3" fontId="31" fillId="0" borderId="21" applyAlignment="1" pivotButton="0" quotePrefix="0" xfId="6">
      <alignment horizontal="center" vertical="center" wrapText="1"/>
    </xf>
    <xf numFmtId="3" fontId="31" fillId="0" borderId="26" applyAlignment="1" pivotButton="0" quotePrefix="0" xfId="6">
      <alignment horizontal="center" vertical="center" wrapText="1"/>
    </xf>
    <xf numFmtId="0" fontId="31" fillId="0" borderId="27" applyAlignment="1" pivotButton="0" quotePrefix="0" xfId="4">
      <alignment horizontal="center" vertical="center" wrapText="1"/>
    </xf>
    <xf numFmtId="0" fontId="4" fillId="0" borderId="28" applyAlignment="1" pivotButton="0" quotePrefix="0" xfId="4">
      <alignment horizontal="center" vertical="center" wrapText="1"/>
    </xf>
    <xf numFmtId="3" fontId="23" fillId="0" borderId="11" applyAlignment="1" pivotButton="0" quotePrefix="0" xfId="4">
      <alignment horizontal="center" vertical="center" wrapText="1"/>
    </xf>
    <xf numFmtId="3" fontId="4" fillId="0" borderId="10" applyAlignment="1" pivotButton="0" quotePrefix="0" xfId="6">
      <alignment horizontal="center" vertical="center" wrapText="1"/>
    </xf>
    <xf numFmtId="0" fontId="31" fillId="0" borderId="72" applyAlignment="1" pivotButton="0" quotePrefix="0" xfId="4">
      <alignment horizontal="center" vertical="center" wrapText="1"/>
    </xf>
    <xf numFmtId="0" fontId="31" fillId="0" borderId="0" applyAlignment="1" pivotButton="0" quotePrefix="0" xfId="4">
      <alignment horizontal="center" vertical="center" wrapText="1"/>
    </xf>
    <xf numFmtId="3" fontId="31" fillId="0" borderId="0" applyAlignment="1" pivotButton="0" quotePrefix="0" xfId="4">
      <alignment horizontal="center" vertical="center" wrapText="1"/>
    </xf>
    <xf numFmtId="3" fontId="31" fillId="0" borderId="73" applyAlignment="1" pivotButton="0" quotePrefix="0" xfId="4">
      <alignment horizontal="center" vertical="center" wrapText="1"/>
    </xf>
    <xf numFmtId="0" fontId="31" fillId="0" borderId="29" applyAlignment="1" pivotButton="0" quotePrefix="0" xfId="4">
      <alignment horizontal="center" vertical="center" wrapText="1"/>
    </xf>
    <xf numFmtId="0" fontId="4" fillId="0" borderId="30" applyAlignment="1" pivotButton="0" quotePrefix="0" xfId="4">
      <alignment horizontal="center" vertical="center" wrapText="1"/>
    </xf>
    <xf numFmtId="3" fontId="31" fillId="0" borderId="74" applyAlignment="1" pivotButton="0" quotePrefix="0" xfId="4">
      <alignment horizontal="center" vertical="center" wrapText="1"/>
    </xf>
    <xf numFmtId="0" fontId="31" fillId="2" borderId="0" applyAlignment="1" pivotButton="0" quotePrefix="0" xfId="4">
      <alignment horizontal="left" vertical="center" wrapText="1"/>
    </xf>
    <xf numFmtId="1" fontId="26" fillId="0" borderId="1" applyAlignment="1" pivotButton="0" quotePrefix="0" xfId="0">
      <alignment horizontal="left" vertical="top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left" wrapText="1"/>
    </xf>
    <xf numFmtId="0" fontId="2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7" fillId="0" borderId="1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/>
    </xf>
    <xf numFmtId="0" fontId="20" fillId="0" borderId="0" pivotButton="0" quotePrefix="0" xfId="0"/>
    <xf numFmtId="0" fontId="49" fillId="0" borderId="0" pivotButton="0" quotePrefix="0" xfId="0"/>
    <xf numFmtId="0" fontId="37" fillId="0" borderId="1" applyAlignment="1" pivotButton="0" quotePrefix="0" xfId="0">
      <alignment horizontal="center" vertical="center" wrapText="1"/>
    </xf>
    <xf numFmtId="0" fontId="37" fillId="0" borderId="1" applyAlignment="1" pivotButton="0" quotePrefix="0" xfId="0">
      <alignment horizontal="centerContinuous" vertical="center"/>
    </xf>
    <xf numFmtId="0" fontId="20" fillId="0" borderId="1" applyAlignment="1" pivotButton="0" quotePrefix="0" xfId="0">
      <alignment horizontal="centerContinuous" vertical="center"/>
    </xf>
    <xf numFmtId="1" fontId="2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Continuous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" fontId="5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1" fontId="3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center" vertical="center"/>
    </xf>
    <xf numFmtId="3" fontId="31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Continuous" vertical="center" wrapText="1"/>
    </xf>
    <xf numFmtId="0" fontId="31" fillId="0" borderId="1" applyAlignment="1" pivotButton="0" quotePrefix="0" xfId="0">
      <alignment vertical="center" wrapText="1"/>
    </xf>
    <xf numFmtId="0" fontId="31" fillId="0" borderId="1" applyAlignment="1" pivotButton="0" quotePrefix="0" xfId="0">
      <alignment vertical="center"/>
    </xf>
    <xf numFmtId="0" fontId="22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vertical="center" wrapText="1"/>
    </xf>
    <xf numFmtId="0" fontId="52" fillId="0" borderId="0" applyAlignment="1" pivotButton="0" quotePrefix="0" xfId="0">
      <alignment horizontal="right"/>
    </xf>
    <xf numFmtId="0" fontId="5" fillId="0" borderId="1" applyAlignment="1" pivotButton="0" quotePrefix="0" xfId="4">
      <alignment horizontal="center" vertical="center"/>
    </xf>
    <xf numFmtId="0" fontId="5" fillId="0" borderId="1" applyAlignment="1" pivotButton="0" quotePrefix="0" xfId="4">
      <alignment horizontal="center" vertical="center" wrapText="1"/>
    </xf>
    <xf numFmtId="0" fontId="13" fillId="0" borderId="0" pivotButton="0" quotePrefix="0" xfId="4"/>
    <xf numFmtId="0" fontId="31" fillId="2" borderId="1" applyAlignment="1" pivotButton="0" quotePrefix="0" xfId="4">
      <alignment horizontal="left" vertical="center" wrapText="1"/>
    </xf>
    <xf numFmtId="0" fontId="31" fillId="2" borderId="1" applyAlignment="1" pivotButton="0" quotePrefix="0" xfId="4">
      <alignment horizontal="center" vertical="center" wrapText="1"/>
    </xf>
    <xf numFmtId="3" fontId="2" fillId="2" borderId="1" applyAlignment="1" pivotButton="0" quotePrefix="0" xfId="4">
      <alignment horizontal="center" vertical="center" wrapText="1"/>
    </xf>
    <xf numFmtId="9" fontId="4" fillId="2" borderId="1" applyAlignment="1" pivotButton="0" quotePrefix="0" xfId="4">
      <alignment horizontal="center" vertical="center" wrapText="1"/>
    </xf>
    <xf numFmtId="0" fontId="2" fillId="2" borderId="1" applyAlignment="1" pivotButton="0" quotePrefix="0" xfId="4">
      <alignment horizontal="center" vertical="center" wrapText="1"/>
    </xf>
    <xf numFmtId="0" fontId="18" fillId="0" borderId="0" applyAlignment="1" pivotButton="0" quotePrefix="0" xfId="4">
      <alignment horizontal="center" vertical="center" wrapText="1"/>
    </xf>
    <xf numFmtId="0" fontId="20" fillId="0" borderId="1" applyAlignment="1" pivotButton="0" quotePrefix="0" xfId="3">
      <alignment wrapText="1"/>
    </xf>
    <xf numFmtId="9" fontId="22" fillId="0" borderId="48" applyAlignment="1" pivotButton="0" quotePrefix="0" xfId="0">
      <alignment horizontal="center" wrapText="1"/>
    </xf>
    <xf numFmtId="0" fontId="20" fillId="4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" fillId="0" borderId="0" pivotButton="0" quotePrefix="0" xfId="0"/>
    <xf numFmtId="0" fontId="5" fillId="2" borderId="0" applyAlignment="1" pivotButton="0" quotePrefix="0" xfId="4">
      <alignment horizontal="centerContinuous"/>
    </xf>
    <xf numFmtId="4" fontId="49" fillId="2" borderId="0" applyAlignment="1" pivotButton="0" quotePrefix="0" xfId="4">
      <alignment horizontal="right"/>
    </xf>
    <xf numFmtId="9" fontId="3" fillId="0" borderId="2" applyAlignment="1" pivotButton="0" quotePrefix="0" xfId="5">
      <alignment horizontal="center"/>
    </xf>
    <xf numFmtId="9" fontId="21" fillId="5" borderId="0" applyAlignment="1" pivotButton="0" quotePrefix="0" xfId="5">
      <alignment horizontal="left" vertical="center"/>
    </xf>
    <xf numFmtId="2" fontId="21" fillId="5" borderId="0" applyAlignment="1" pivotButton="0" quotePrefix="0" xfId="0">
      <alignment horizontal="left" vertical="center"/>
    </xf>
    <xf numFmtId="2" fontId="31" fillId="0" borderId="1" applyAlignment="1" pivotButton="0" quotePrefix="0" xfId="4">
      <alignment horizontal="right" vertical="center"/>
    </xf>
    <xf numFmtId="2" fontId="3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5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 wrapText="1"/>
    </xf>
    <xf numFmtId="164" fontId="31" fillId="2" borderId="1" applyAlignment="1" pivotButton="0" quotePrefix="0" xfId="4">
      <alignment horizontal="right" vertical="center"/>
    </xf>
    <xf numFmtId="165" fontId="23" fillId="2" borderId="1" applyAlignment="1" pivotButton="0" quotePrefix="0" xfId="4">
      <alignment horizontal="center" vertical="center"/>
    </xf>
    <xf numFmtId="165" fontId="35" fillId="2" borderId="1" applyAlignment="1" pivotButton="0" quotePrefix="0" xfId="4">
      <alignment horizontal="center" vertical="center"/>
    </xf>
    <xf numFmtId="166" fontId="27" fillId="0" borderId="1" applyAlignment="1" pivotButton="0" quotePrefix="0" xfId="7">
      <alignment horizontal="right"/>
    </xf>
    <xf numFmtId="164" fontId="33" fillId="0" borderId="1" applyAlignment="1" pivotButton="0" quotePrefix="0" xfId="4">
      <alignment horizontal="right" vertical="center"/>
    </xf>
    <xf numFmtId="167" fontId="4" fillId="0" borderId="1" applyAlignment="1" pivotButton="0" quotePrefix="0" xfId="4">
      <alignment horizontal="right" vertical="center"/>
    </xf>
    <xf numFmtId="167" fontId="4" fillId="2" borderId="1" applyAlignment="1" pivotButton="0" quotePrefix="0" xfId="4">
      <alignment horizontal="right" vertical="center"/>
    </xf>
    <xf numFmtId="167" fontId="31" fillId="0" borderId="0" applyAlignment="1" pivotButton="0" quotePrefix="0" xfId="4">
      <alignment horizontal="right"/>
    </xf>
    <xf numFmtId="164" fontId="4" fillId="0" borderId="1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wrapText="1"/>
    </xf>
    <xf numFmtId="168" fontId="4" fillId="2" borderId="1" applyAlignment="1" pivotButton="0" quotePrefix="0" xfId="4">
      <alignment horizontal="center" vertical="center" wrapText="1"/>
    </xf>
    <xf numFmtId="169" fontId="31" fillId="0" borderId="0" applyAlignment="1" pivotButton="0" quotePrefix="0" xfId="4">
      <alignment horizontal="center" vertical="center" wrapText="1"/>
    </xf>
    <xf numFmtId="170" fontId="31" fillId="0" borderId="5" applyAlignment="1" pivotButton="0" quotePrefix="0" xfId="4">
      <alignment horizontal="right"/>
    </xf>
    <xf numFmtId="170" fontId="31" fillId="0" borderId="17" applyAlignment="1" pivotButton="0" quotePrefix="0" xfId="4">
      <alignment horizontal="right"/>
    </xf>
    <xf numFmtId="170" fontId="31" fillId="0" borderId="18" applyAlignment="1" pivotButton="0" quotePrefix="0" xfId="4">
      <alignment horizontal="right"/>
    </xf>
    <xf numFmtId="170" fontId="23" fillId="0" borderId="11" applyAlignment="1" pivotButton="0" quotePrefix="0" xfId="4">
      <alignment horizontal="right"/>
    </xf>
    <xf numFmtId="169" fontId="31" fillId="0" borderId="0" applyAlignment="1" pivotButton="0" quotePrefix="0" xfId="6">
      <alignment vertical="center"/>
    </xf>
    <xf numFmtId="166" fontId="7" fillId="0" borderId="0" applyAlignment="1" pivotButton="0" quotePrefix="0" xfId="0">
      <alignment horizontal="center"/>
    </xf>
    <xf numFmtId="166" fontId="26" fillId="0" borderId="0" pivotButton="0" quotePrefix="0" xfId="7"/>
    <xf numFmtId="166" fontId="28" fillId="0" borderId="0" pivotButton="0" quotePrefix="0" xfId="7"/>
    <xf numFmtId="171" fontId="0" fillId="0" borderId="0" pivotButton="0" quotePrefix="0" xfId="6"/>
    <xf numFmtId="169" fontId="0" fillId="0" borderId="0" pivotButton="0" quotePrefix="0" xfId="6"/>
    <xf numFmtId="171" fontId="0" fillId="0" borderId="0" pivotButton="0" quotePrefix="0" xfId="0"/>
    <xf numFmtId="172" fontId="0" fillId="0" borderId="0" pivotButton="0" quotePrefix="0" xfId="6"/>
    <xf numFmtId="173" fontId="50" fillId="0" borderId="1" applyAlignment="1" pivotButton="0" quotePrefix="0" xfId="0">
      <alignment horizontal="center" vertical="center" wrapText="1"/>
    </xf>
    <xf numFmtId="164" fontId="50" fillId="0" borderId="1" applyAlignment="1" pivotButton="0" quotePrefix="0" xfId="0">
      <alignment horizontal="center" vertical="center" wrapText="1"/>
    </xf>
    <xf numFmtId="173" fontId="37" fillId="0" borderId="1" applyAlignment="1" pivotButton="0" quotePrefix="0" xfId="0">
      <alignment horizontal="center" vertical="center" wrapText="1"/>
    </xf>
    <xf numFmtId="164" fontId="37" fillId="0" borderId="1" applyAlignment="1" pivotButton="0" quotePrefix="0" xfId="0">
      <alignment horizontal="center" vertical="center" wrapText="1"/>
    </xf>
    <xf numFmtId="173" fontId="51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70" fontId="5" fillId="0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vertical="center"/>
    </xf>
    <xf numFmtId="170" fontId="5" fillId="0" borderId="1" applyAlignment="1" pivotButton="0" quotePrefix="0" xfId="0">
      <alignment vertical="center"/>
    </xf>
    <xf numFmtId="174" fontId="3" fillId="0" borderId="1" applyAlignment="1" pivotButton="0" quotePrefix="0" xfId="0">
      <alignment horizontal="right" vertical="center" wrapText="1"/>
    </xf>
    <xf numFmtId="175" fontId="3" fillId="0" borderId="1" applyAlignment="1" pivotButton="0" quotePrefix="0" xfId="0">
      <alignment horizontal="center" vertical="center" wrapText="1"/>
    </xf>
    <xf numFmtId="174" fontId="3" fillId="0" borderId="67" applyAlignment="1" pivotButton="0" quotePrefix="0" xfId="0">
      <alignment horizontal="right" vertical="center" wrapText="1"/>
    </xf>
    <xf numFmtId="173" fontId="3" fillId="0" borderId="1" applyAlignment="1" pivotButton="0" quotePrefix="0" xfId="0">
      <alignment horizontal="center" vertical="center" wrapText="1"/>
    </xf>
    <xf numFmtId="174" fontId="3" fillId="0" borderId="17" applyAlignment="1" pivotButton="0" quotePrefix="0" xfId="0">
      <alignment horizontal="right" vertical="center" wrapText="1"/>
    </xf>
    <xf numFmtId="173" fontId="3" fillId="0" borderId="17" applyAlignment="1" pivotButton="0" quotePrefix="0" xfId="0">
      <alignment horizontal="center" vertical="center" wrapText="1"/>
    </xf>
    <xf numFmtId="174" fontId="3" fillId="0" borderId="64" applyAlignment="1" pivotButton="0" quotePrefix="0" xfId="0">
      <alignment horizontal="right" vertical="center" wrapText="1"/>
    </xf>
    <xf numFmtId="174" fontId="5" fillId="0" borderId="15" pivotButton="0" quotePrefix="0" xfId="0"/>
    <xf numFmtId="171" fontId="2" fillId="0" borderId="1" applyAlignment="1" pivotButton="0" quotePrefix="0" xfId="6">
      <alignment horizontal="center" vertical="center"/>
    </xf>
    <xf numFmtId="171" fontId="31" fillId="0" borderId="1" applyAlignment="1" pivotButton="0" quotePrefix="0" xfId="6">
      <alignment horizontal="center" vertical="center"/>
    </xf>
    <xf numFmtId="176" fontId="31" fillId="0" borderId="1" applyAlignment="1" pivotButton="0" quotePrefix="0" xfId="6">
      <alignment horizontal="center" vertical="center"/>
    </xf>
    <xf numFmtId="164" fontId="10" fillId="0" borderId="1" applyAlignment="1" pivotButton="0" quotePrefix="0" xfId="0">
      <alignment horizontal="center" vertical="center"/>
    </xf>
    <xf numFmtId="177" fontId="3" fillId="0" borderId="0" pivotButton="0" quotePrefix="0" xfId="0"/>
    <xf numFmtId="166" fontId="3" fillId="0" borderId="0" pivotButton="0" quotePrefix="0" xfId="0"/>
    <xf numFmtId="166" fontId="3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Continuous" wrapText="1"/>
    </xf>
    <xf numFmtId="166" fontId="3" fillId="0" borderId="0" applyAlignment="1" pivotButton="0" quotePrefix="0" xfId="0">
      <alignment horizontal="centerContinuous"/>
    </xf>
    <xf numFmtId="166" fontId="7" fillId="0" borderId="1" pivotButton="0" quotePrefix="0" xfId="0"/>
    <xf numFmtId="171" fontId="3" fillId="0" borderId="0" pivotButton="0" quotePrefix="0" xfId="6"/>
    <xf numFmtId="171" fontId="3" fillId="0" borderId="0" pivotButton="0" quotePrefix="0" xfId="0"/>
    <xf numFmtId="170" fontId="3" fillId="0" borderId="0" applyAlignment="1" pivotButton="0" quotePrefix="0" xfId="0">
      <alignment horizontal="centerContinuous"/>
    </xf>
    <xf numFmtId="170" fontId="3" fillId="0" borderId="42" pivotButton="0" quotePrefix="0" xfId="0"/>
    <xf numFmtId="170" fontId="3" fillId="0" borderId="42" applyAlignment="1" pivotButton="0" quotePrefix="0" xfId="0">
      <alignment horizontal="center"/>
    </xf>
    <xf numFmtId="170" fontId="8" fillId="0" borderId="2" pivotButton="0" quotePrefix="0" xfId="0"/>
    <xf numFmtId="170" fontId="8" fillId="0" borderId="2" applyAlignment="1" pivotButton="0" quotePrefix="0" xfId="0">
      <alignment horizontal="center"/>
    </xf>
    <xf numFmtId="170" fontId="3" fillId="0" borderId="2" pivotButton="0" quotePrefix="0" xfId="0"/>
    <xf numFmtId="170" fontId="3" fillId="0" borderId="2" applyAlignment="1" pivotButton="0" quotePrefix="0" xfId="0">
      <alignment horizontal="center"/>
    </xf>
    <xf numFmtId="164" fontId="3" fillId="0" borderId="2" applyAlignment="1" pivotButton="0" quotePrefix="0" xfId="6">
      <alignment horizontal="center"/>
    </xf>
    <xf numFmtId="170" fontId="3" fillId="0" borderId="3" pivotButton="0" quotePrefix="0" xfId="0"/>
    <xf numFmtId="170" fontId="3" fillId="0" borderId="3" applyAlignment="1" pivotButton="0" quotePrefix="0" xfId="0">
      <alignment horizontal="center"/>
    </xf>
    <xf numFmtId="174" fontId="3" fillId="0" borderId="0" pivotButton="0" quotePrefix="0" xfId="0"/>
    <xf numFmtId="170" fontId="20" fillId="4" borderId="1" applyAlignment="1" pivotButton="0" quotePrefix="0" xfId="0">
      <alignment horizontal="center" vertical="center" wrapText="1"/>
    </xf>
    <xf numFmtId="178" fontId="20" fillId="4" borderId="1" applyAlignment="1" pivotButton="0" quotePrefix="0" xfId="0">
      <alignment horizontal="center" vertical="center" wrapText="1"/>
    </xf>
    <xf numFmtId="170" fontId="7" fillId="0" borderId="1" applyAlignment="1" pivotButton="0" quotePrefix="0" xfId="0">
      <alignment horizontal="center" vertical="center" wrapText="1"/>
    </xf>
    <xf numFmtId="174" fontId="7" fillId="0" borderId="1" applyAlignment="1" pivotButton="0" quotePrefix="0" xfId="0">
      <alignment horizontal="center" vertical="center" wrapText="1"/>
    </xf>
    <xf numFmtId="178" fontId="7" fillId="0" borderId="1" applyAlignment="1" pivotButton="0" quotePrefix="0" xfId="0">
      <alignment horizontal="center" vertical="center" wrapText="1"/>
    </xf>
    <xf numFmtId="178" fontId="7" fillId="0" borderId="0" applyAlignment="1" pivotButton="0" quotePrefix="0" xfId="0">
      <alignment horizontal="center" vertical="center" wrapText="1"/>
    </xf>
    <xf numFmtId="164" fontId="3" fillId="0" borderId="0" pivotButton="0" quotePrefix="0" xfId="0"/>
    <xf numFmtId="178" fontId="16" fillId="0" borderId="1" applyAlignment="1" pivotButton="0" quotePrefix="0" xfId="0">
      <alignment horizontal="center" vertical="center" wrapText="1"/>
    </xf>
    <xf numFmtId="174" fontId="16" fillId="0" borderId="1" applyAlignment="1" pivotButton="0" quotePrefix="0" xfId="0">
      <alignment horizontal="center" vertical="center" wrapText="1"/>
    </xf>
    <xf numFmtId="178" fontId="16" fillId="0" borderId="0" applyAlignment="1" pivotButton="0" quotePrefix="0" xfId="0">
      <alignment horizontal="center" vertical="center" wrapText="1"/>
    </xf>
    <xf numFmtId="178" fontId="5" fillId="0" borderId="0" pivotButton="0" quotePrefix="0" xfId="0"/>
    <xf numFmtId="164" fontId="3" fillId="0" borderId="1" pivotButton="0" quotePrefix="0" xfId="0"/>
    <xf numFmtId="169" fontId="7" fillId="0" borderId="5" pivotButton="0" quotePrefix="0" xfId="6"/>
    <xf numFmtId="169" fontId="7" fillId="0" borderId="34" pivotButton="0" quotePrefix="0" xfId="6"/>
    <xf numFmtId="164" fontId="3" fillId="0" borderId="1" applyAlignment="1" pivotButton="0" quotePrefix="0" xfId="0">
      <alignment horizontal="center" vertical="center"/>
    </xf>
    <xf numFmtId="169" fontId="7" fillId="0" borderId="17" applyAlignment="1" pivotButton="0" quotePrefix="0" xfId="6">
      <alignment horizontal="center" vertical="center"/>
    </xf>
    <xf numFmtId="169" fontId="7" fillId="0" borderId="52" applyAlignment="1" pivotButton="0" quotePrefix="0" xfId="6">
      <alignment horizontal="center" vertical="center"/>
    </xf>
    <xf numFmtId="169" fontId="3" fillId="0" borderId="17" applyAlignment="1" pivotButton="0" quotePrefix="0" xfId="6">
      <alignment horizontal="center" vertical="center"/>
    </xf>
    <xf numFmtId="169" fontId="16" fillId="0" borderId="17" applyAlignment="1" pivotButton="0" quotePrefix="0" xfId="6">
      <alignment horizontal="center" vertical="center"/>
    </xf>
    <xf numFmtId="169" fontId="16" fillId="0" borderId="52" applyAlignment="1" pivotButton="0" quotePrefix="0" xfId="6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18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169" fontId="7" fillId="0" borderId="17" pivotButton="0" quotePrefix="0" xfId="6"/>
    <xf numFmtId="169" fontId="7" fillId="0" borderId="52" pivotButton="0" quotePrefix="0" xfId="6"/>
    <xf numFmtId="170" fontId="34" fillId="0" borderId="58" pivotButton="0" quotePrefix="0" xfId="0"/>
    <xf numFmtId="170" fontId="34" fillId="0" borderId="63" pivotButton="0" quotePrefix="0" xfId="0"/>
    <xf numFmtId="164" fontId="3" fillId="0" borderId="44" pivotButton="0" quotePrefix="0" xfId="0"/>
    <xf numFmtId="174" fontId="3" fillId="0" borderId="15" pivotButton="0" quotePrefix="0" xfId="0"/>
    <xf numFmtId="174" fontId="7" fillId="0" borderId="5" applyAlignment="1" pivotButton="0" quotePrefix="0" xfId="0">
      <alignment horizontal="center" vertical="center" wrapText="1"/>
    </xf>
    <xf numFmtId="174" fontId="7" fillId="0" borderId="67" applyAlignment="1" pivotButton="0" quotePrefix="0" xfId="0">
      <alignment horizontal="center" vertical="center" wrapText="1"/>
    </xf>
    <xf numFmtId="174" fontId="7" fillId="0" borderId="52" applyAlignment="1" pivotButton="0" quotePrefix="0" xfId="0">
      <alignment horizontal="center" vertical="center" wrapText="1"/>
    </xf>
    <xf numFmtId="174" fontId="7" fillId="0" borderId="50" applyAlignment="1" pivotButton="0" quotePrefix="0" xfId="0">
      <alignment horizontal="center" vertical="center" wrapText="1"/>
    </xf>
    <xf numFmtId="174" fontId="7" fillId="0" borderId="17" applyAlignment="1" pivotButton="0" quotePrefix="0" xfId="0">
      <alignment horizontal="center" vertical="center" wrapText="1"/>
    </xf>
    <xf numFmtId="174" fontId="7" fillId="0" borderId="51" applyAlignment="1" pivotButton="0" quotePrefix="0" xfId="0">
      <alignment horizontal="center" vertical="center" wrapText="1"/>
    </xf>
    <xf numFmtId="174" fontId="16" fillId="0" borderId="14" applyAlignment="1" pivotButton="0" quotePrefix="0" xfId="0">
      <alignment horizontal="center" vertical="center" wrapText="1"/>
    </xf>
    <xf numFmtId="174" fontId="16" fillId="0" borderId="15" applyAlignment="1" pivotButton="0" quotePrefix="0" xfId="0">
      <alignment horizontal="center" vertical="center" wrapText="1"/>
    </xf>
    <xf numFmtId="174" fontId="3" fillId="0" borderId="6" pivotButton="0" quotePrefix="0" xfId="0"/>
    <xf numFmtId="174" fontId="3" fillId="0" borderId="7" pivotButton="0" quotePrefix="0" xfId="0"/>
    <xf numFmtId="174" fontId="3" fillId="0" borderId="8" pivotButton="0" quotePrefix="0" xfId="0"/>
    <xf numFmtId="174" fontId="3" fillId="0" borderId="9" pivotButton="0" quotePrefix="0" xfId="0"/>
    <xf numFmtId="174" fontId="3" fillId="0" borderId="1" pivotButton="0" quotePrefix="0" xfId="0"/>
    <xf numFmtId="174" fontId="3" fillId="0" borderId="10" pivotButton="0" quotePrefix="0" xfId="0"/>
    <xf numFmtId="173" fontId="7" fillId="0" borderId="5" applyAlignment="1" pivotButton="0" quotePrefix="0" xfId="0">
      <alignment vertical="center" wrapText="1"/>
    </xf>
    <xf numFmtId="173" fontId="7" fillId="0" borderId="5" applyAlignment="1" pivotButton="0" quotePrefix="0" xfId="0">
      <alignment horizontal="center" vertical="center" wrapText="1"/>
    </xf>
    <xf numFmtId="173" fontId="7" fillId="0" borderId="17" applyAlignment="1" pivotButton="0" quotePrefix="0" xfId="0">
      <alignment vertical="center" wrapText="1"/>
    </xf>
    <xf numFmtId="173" fontId="7" fillId="0" borderId="17" applyAlignment="1" pivotButton="0" quotePrefix="0" xfId="0">
      <alignment horizontal="center" vertical="center" wrapText="1"/>
    </xf>
    <xf numFmtId="164" fontId="3" fillId="0" borderId="17" applyAlignment="1" pivotButton="0" quotePrefix="0" xfId="0">
      <alignment horizontal="center" vertical="center" wrapText="1"/>
    </xf>
    <xf numFmtId="164" fontId="7" fillId="0" borderId="52" applyAlignment="1" pivotButton="0" quotePrefix="0" xfId="0">
      <alignment horizontal="center" vertical="center" wrapText="1"/>
    </xf>
    <xf numFmtId="174" fontId="3" fillId="0" borderId="20" pivotButton="0" quotePrefix="0" xfId="0"/>
    <xf numFmtId="174" fontId="3" fillId="0" borderId="5" pivotButton="0" quotePrefix="0" xfId="0"/>
    <xf numFmtId="174" fontId="3" fillId="0" borderId="21" pivotButton="0" quotePrefix="0" xfId="0"/>
    <xf numFmtId="173" fontId="16" fillId="0" borderId="5" applyAlignment="1" pivotButton="0" quotePrefix="0" xfId="0">
      <alignment vertical="center" wrapText="1"/>
    </xf>
    <xf numFmtId="173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174" fontId="5" fillId="0" borderId="20" pivotButton="0" quotePrefix="0" xfId="0"/>
    <xf numFmtId="174" fontId="5" fillId="0" borderId="5" pivotButton="0" quotePrefix="0" xfId="0"/>
    <xf numFmtId="174" fontId="5" fillId="0" borderId="21" pivotButton="0" quotePrefix="0" xfId="0"/>
    <xf numFmtId="174" fontId="4" fillId="0" borderId="12" pivotButton="0" quotePrefix="0" xfId="0"/>
    <xf numFmtId="174" fontId="3" fillId="0" borderId="11" pivotButton="0" quotePrefix="0" xfId="0"/>
    <xf numFmtId="174" fontId="7" fillId="0" borderId="13" pivotButton="0" quotePrefix="0" xfId="0"/>
    <xf numFmtId="164" fontId="5" fillId="0" borderId="46" applyAlignment="1" pivotButton="0" quotePrefix="0" xfId="0">
      <alignment horizontal="centerContinuous"/>
    </xf>
    <xf numFmtId="164" fontId="5" fillId="0" borderId="47" applyAlignment="1" pivotButton="0" quotePrefix="0" xfId="0">
      <alignment horizontal="centerContinuous"/>
    </xf>
    <xf numFmtId="166" fontId="7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70" fontId="3" fillId="0" borderId="19" applyAlignment="1" pivotButton="0" quotePrefix="0" xfId="0">
      <alignment wrapText="1"/>
    </xf>
    <xf numFmtId="170" fontId="7" fillId="0" borderId="17" applyAlignment="1" pivotButton="0" quotePrefix="0" xfId="0">
      <alignment wrapText="1"/>
    </xf>
    <xf numFmtId="170" fontId="3" fillId="0" borderId="4" applyAlignment="1" pivotButton="0" quotePrefix="0" xfId="0">
      <alignment wrapText="1"/>
    </xf>
    <xf numFmtId="170" fontId="7" fillId="0" borderId="5" applyAlignment="1" pivotButton="0" quotePrefix="0" xfId="0">
      <alignment wrapText="1"/>
    </xf>
    <xf numFmtId="0" fontId="54" fillId="0" borderId="0" pivotButton="0" quotePrefix="0" xfId="0"/>
    <xf numFmtId="38" fontId="26" fillId="0" borderId="1" applyAlignment="1" pivotButton="0" quotePrefix="0" xfId="7">
      <alignment horizontal="center"/>
    </xf>
    <xf numFmtId="38" fontId="24" fillId="0" borderId="1" applyAlignment="1" pivotButton="0" quotePrefix="0" xfId="7">
      <alignment horizontal="center" vertical="center"/>
    </xf>
    <xf numFmtId="38" fontId="42" fillId="0" borderId="1" applyAlignment="1" pivotButton="0" quotePrefix="0" xfId="7">
      <alignment horizontal="center"/>
    </xf>
    <xf numFmtId="38" fontId="29" fillId="0" borderId="1" applyAlignment="1" pivotButton="0" quotePrefix="0" xfId="7">
      <alignment horizontal="center"/>
    </xf>
    <xf numFmtId="38" fontId="30" fillId="0" borderId="1" applyAlignment="1" pivotButton="0" quotePrefix="0" xfId="7">
      <alignment horizontal="center"/>
    </xf>
    <xf numFmtId="38" fontId="43" fillId="0" borderId="1" applyAlignment="1" pivotButton="0" quotePrefix="0" xfId="7">
      <alignment horizontal="center"/>
    </xf>
    <xf numFmtId="38" fontId="30" fillId="0" borderId="1" applyAlignment="1" pivotButton="0" quotePrefix="0" xfId="7">
      <alignment horizontal="center" vertical="center"/>
    </xf>
    <xf numFmtId="0" fontId="20" fillId="0" borderId="1" pivotButton="0" quotePrefix="0" xfId="3"/>
    <xf numFmtId="38" fontId="56" fillId="0" borderId="5" pivotButton="0" quotePrefix="0" xfId="0"/>
    <xf numFmtId="38" fontId="57" fillId="0" borderId="17" pivotButton="0" quotePrefix="0" xfId="0"/>
    <xf numFmtId="38" fontId="56" fillId="0" borderId="17" pivotButton="0" quotePrefix="0" xfId="0"/>
    <xf numFmtId="38" fontId="57" fillId="0" borderId="17" applyAlignment="1" pivotButton="0" quotePrefix="0" xfId="0">
      <alignment horizontal="right"/>
    </xf>
    <xf numFmtId="38" fontId="56" fillId="0" borderId="25" pivotButton="0" quotePrefix="0" xfId="0"/>
    <xf numFmtId="38" fontId="56" fillId="0" borderId="16" pivotButton="0" quotePrefix="0" xfId="0"/>
    <xf numFmtId="9" fontId="57" fillId="0" borderId="18" applyAlignment="1" pivotButton="0" quotePrefix="0" xfId="0">
      <alignment horizontal="center"/>
    </xf>
    <xf numFmtId="9" fontId="57" fillId="0" borderId="14" applyAlignment="1" pivotButton="0" quotePrefix="0" xfId="0">
      <alignment horizontal="center"/>
    </xf>
    <xf numFmtId="38" fontId="22" fillId="0" borderId="17" applyAlignment="1" pivotButton="0" quotePrefix="0" xfId="0">
      <alignment wrapText="1"/>
    </xf>
    <xf numFmtId="38" fontId="22" fillId="0" borderId="50" applyAlignment="1" pivotButton="0" quotePrefix="0" xfId="0">
      <alignment wrapText="1"/>
    </xf>
    <xf numFmtId="38" fontId="55" fillId="0" borderId="17" applyAlignment="1" pivotButton="0" quotePrefix="0" xfId="0">
      <alignment wrapText="1"/>
    </xf>
    <xf numFmtId="38" fontId="22" fillId="0" borderId="18" applyAlignment="1" pivotButton="0" quotePrefix="0" xfId="0">
      <alignment horizontal="right" wrapText="1"/>
    </xf>
    <xf numFmtId="38" fontId="55" fillId="0" borderId="1" applyAlignment="1" pivotButton="0" quotePrefix="0" xfId="0">
      <alignment horizontal="right" wrapText="1"/>
    </xf>
    <xf numFmtId="38" fontId="22" fillId="0" borderId="5" applyAlignment="1" pivotButton="0" quotePrefix="0" xfId="0">
      <alignment wrapText="1"/>
    </xf>
    <xf numFmtId="38" fontId="22" fillId="0" borderId="17" applyAlignment="1" pivotButton="0" quotePrefix="0" xfId="0">
      <alignment horizontal="right" wrapText="1"/>
    </xf>
    <xf numFmtId="38" fontId="22" fillId="0" borderId="18" applyAlignment="1" pivotButton="0" quotePrefix="0" xfId="0">
      <alignment wrapText="1"/>
    </xf>
    <xf numFmtId="38" fontId="22" fillId="0" borderId="70" applyAlignment="1" pivotButton="0" quotePrefix="0" xfId="0">
      <alignment wrapText="1"/>
    </xf>
    <xf numFmtId="38" fontId="22" fillId="0" borderId="50" applyAlignment="1" pivotButton="0" quotePrefix="0" xfId="0">
      <alignment horizontal="right" wrapText="1"/>
    </xf>
    <xf numFmtId="38" fontId="55" fillId="0" borderId="5" applyAlignment="1" pivotButton="0" quotePrefix="0" xfId="0">
      <alignment horizontal="right" wrapText="1"/>
    </xf>
    <xf numFmtId="38" fontId="55" fillId="0" borderId="70" applyAlignment="1" pivotButton="0" quotePrefix="0" xfId="0">
      <alignment horizontal="right" wrapText="1"/>
    </xf>
    <xf numFmtId="38" fontId="55" fillId="0" borderId="17" applyAlignment="1" pivotButton="0" quotePrefix="0" xfId="0">
      <alignment horizontal="right" wrapText="1"/>
    </xf>
    <xf numFmtId="38" fontId="22" fillId="0" borderId="71" applyAlignment="1" pivotButton="0" quotePrefix="0" xfId="0">
      <alignment wrapText="1"/>
    </xf>
    <xf numFmtId="38" fontId="55" fillId="0" borderId="69" applyAlignment="1" pivotButton="0" quotePrefix="0" xfId="0">
      <alignment horizontal="right" wrapText="1"/>
    </xf>
    <xf numFmtId="38" fontId="58" fillId="0" borderId="1" applyAlignment="1" pivotButton="0" quotePrefix="0" xfId="0">
      <alignment horizontal="right" wrapText="1"/>
    </xf>
    <xf numFmtId="40" fontId="22" fillId="0" borderId="61" applyAlignment="1" pivotButton="0" quotePrefix="0" xfId="0">
      <alignment wrapText="1"/>
    </xf>
    <xf numFmtId="0" fontId="20" fillId="0" borderId="1" applyAlignment="1" pivotButton="0" quotePrefix="0" xfId="3">
      <alignment horizontal="center" vertical="center" wrapText="1"/>
    </xf>
    <xf numFmtId="4" fontId="20" fillId="0" borderId="1" applyAlignment="1" pivotButton="0" quotePrefix="0" xfId="3">
      <alignment horizontal="center" vertical="center" wrapText="1"/>
    </xf>
    <xf numFmtId="3" fontId="20" fillId="0" borderId="1" applyAlignment="1" pivotButton="0" quotePrefix="0" xfId="3">
      <alignment horizontal="center" vertical="center" wrapText="1"/>
    </xf>
    <xf numFmtId="2" fontId="20" fillId="0" borderId="1" applyAlignment="1" pivotButton="0" quotePrefix="0" xfId="3">
      <alignment horizontal="center" vertical="center" wrapText="1"/>
    </xf>
    <xf numFmtId="10" fontId="20" fillId="0" borderId="1" applyAlignment="1" pivotButton="0" quotePrefix="0" xfId="3">
      <alignment horizontal="center" vertical="center" wrapText="1"/>
    </xf>
    <xf numFmtId="0" fontId="5" fillId="0" borderId="1" applyAlignment="1" pivotButton="0" quotePrefix="0" xfId="0">
      <alignment vertical="center" wrapText="1"/>
    </xf>
    <xf numFmtId="9" fontId="21" fillId="0" borderId="0" applyAlignment="1" pivotButton="0" quotePrefix="0" xfId="5">
      <alignment horizontal="left" vertical="center"/>
    </xf>
    <xf numFmtId="0" fontId="21" fillId="0" borderId="0" pivotButton="0" quotePrefix="0" xfId="0"/>
    <xf numFmtId="0" fontId="20" fillId="0" borderId="0" pivotButton="0" quotePrefix="0" xfId="3"/>
    <xf numFmtId="0" fontId="21" fillId="0" borderId="0" applyAlignment="1" pivotButton="0" quotePrefix="0" xfId="0">
      <alignment horizontal="left" vertical="center"/>
    </xf>
    <xf numFmtId="179" fontId="20" fillId="0" borderId="1" applyAlignment="1" pivotButton="0" quotePrefix="0" xfId="3">
      <alignment horizontal="center" vertical="center" wrapText="1"/>
    </xf>
    <xf numFmtId="0" fontId="12" fillId="0" borderId="0" pivotButton="0" quotePrefix="0" xfId="4"/>
    <xf numFmtId="0" fontId="5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170" fontId="3" fillId="0" borderId="0" pivotButton="0" quotePrefix="0" xfId="0"/>
    <xf numFmtId="0" fontId="3" fillId="0" borderId="0" pivotButton="0" quotePrefix="0" xfId="0"/>
    <xf numFmtId="178" fontId="3" fillId="0" borderId="0" pivotButton="0" quotePrefix="0" xfId="0"/>
    <xf numFmtId="0" fontId="0" fillId="0" borderId="0" pivotButton="0" quotePrefix="0" xfId="0"/>
    <xf numFmtId="0" fontId="20" fillId="0" borderId="48" applyAlignment="1" pivotButton="0" quotePrefix="0" xfId="0">
      <alignment horizontal="center" vertical="center" wrapText="1"/>
    </xf>
    <xf numFmtId="0" fontId="20" fillId="0" borderId="42" applyAlignment="1" pivotButton="0" quotePrefix="0" xfId="0">
      <alignment horizontal="center" vertical="center" wrapText="1"/>
    </xf>
    <xf numFmtId="0" fontId="6" fillId="0" borderId="0" pivotButton="0" quotePrefix="0" xfId="3"/>
    <xf numFmtId="0" fontId="6" fillId="0" borderId="0" applyAlignment="1" pivotButton="0" quotePrefix="0" xfId="3">
      <alignment horizontal="center"/>
    </xf>
    <xf numFmtId="180" fontId="6" fillId="0" borderId="0" pivotButton="0" quotePrefix="0" xfId="3"/>
    <xf numFmtId="0" fontId="5" fillId="2" borderId="0" applyAlignment="1" pivotButton="0" quotePrefix="0" xfId="4">
      <alignment horizontal="center" vertical="center" wrapText="1"/>
    </xf>
    <xf numFmtId="0" fontId="12" fillId="0" borderId="0" pivotButton="0" quotePrefix="0" xfId="4"/>
    <xf numFmtId="0" fontId="5" fillId="0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6" pivotButton="0" quotePrefix="0" xfId="0"/>
    <xf numFmtId="0" fontId="38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/>
    </xf>
    <xf numFmtId="170" fontId="3" fillId="0" borderId="0" pivotButton="0" quotePrefix="0" xfId="0"/>
    <xf numFmtId="0" fontId="3" fillId="0" borderId="0" pivotButton="0" quotePrefix="0" xfId="0"/>
    <xf numFmtId="178" fontId="3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8" fillId="0" borderId="39" applyAlignment="1" pivotButton="0" quotePrefix="0" xfId="0">
      <alignment horizontal="center"/>
    </xf>
    <xf numFmtId="0" fontId="0" fillId="0" borderId="0" pivotButton="0" quotePrefix="0" xfId="0"/>
    <xf numFmtId="0" fontId="0" fillId="0" borderId="39" pivotButton="0" quotePrefix="0" xfId="0"/>
    <xf numFmtId="0" fontId="8" fillId="0" borderId="39" applyAlignment="1" pivotButton="0" quotePrefix="0" xfId="0">
      <alignment horizontal="right"/>
    </xf>
    <xf numFmtId="0" fontId="20" fillId="0" borderId="48" applyAlignment="1" pivotButton="0" quotePrefix="0" xfId="0">
      <alignment horizontal="center" vertical="center" wrapText="1"/>
    </xf>
    <xf numFmtId="0" fontId="0" fillId="0" borderId="18" pivotButton="0" quotePrefix="0" xfId="0"/>
    <xf numFmtId="0" fontId="20" fillId="0" borderId="42" applyAlignment="1" pivotButton="0" quotePrefix="0" xfId="0">
      <alignment horizontal="center" vertical="center" wrapText="1"/>
    </xf>
    <xf numFmtId="0" fontId="0" fillId="0" borderId="54" pivotButton="0" quotePrefix="0" xfId="0"/>
    <xf numFmtId="0" fontId="17" fillId="0" borderId="39" applyAlignment="1" pivotButton="0" quotePrefix="0" xfId="0">
      <alignment horizontal="center"/>
    </xf>
    <xf numFmtId="0" fontId="48" fillId="0" borderId="0" applyAlignment="1" pivotButton="0" quotePrefix="0" xfId="3">
      <alignment horizontal="center" vertical="center"/>
    </xf>
    <xf numFmtId="0" fontId="6" fillId="0" borderId="0" pivotButton="0" quotePrefix="0" xfId="3"/>
    <xf numFmtId="0" fontId="6" fillId="0" borderId="0" applyAlignment="1" pivotButton="0" quotePrefix="0" xfId="3">
      <alignment horizontal="center"/>
    </xf>
    <xf numFmtId="0" fontId="59" fillId="6" borderId="76" applyAlignment="1" pivotButton="0" quotePrefix="0" xfId="0">
      <alignment horizontal="center" vertical="center" wrapText="1"/>
    </xf>
    <xf numFmtId="170" fontId="59" fillId="6" borderId="76" applyAlignment="1" pivotButton="0" quotePrefix="0" xfId="0">
      <alignment horizontal="center" vertical="center" wrapText="1"/>
    </xf>
    <xf numFmtId="178" fontId="59" fillId="6" borderId="76" applyAlignment="1" pivotButton="0" quotePrefix="0" xfId="0">
      <alignment horizontal="center" vertical="center" wrapText="1"/>
    </xf>
    <xf numFmtId="0" fontId="60" fillId="7" borderId="76" applyAlignment="1" pivotButton="0" quotePrefix="0" xfId="0">
      <alignment horizontal="center"/>
    </xf>
    <xf numFmtId="170" fontId="60" fillId="7" borderId="76" applyAlignment="1" pivotButton="0" quotePrefix="0" xfId="0">
      <alignment horizontal="center"/>
    </xf>
    <xf numFmtId="3" fontId="60" fillId="7" borderId="76" applyAlignment="1" pivotButton="0" quotePrefix="0" xfId="0">
      <alignment horizontal="center"/>
    </xf>
    <xf numFmtId="178" fontId="60" fillId="7" borderId="76" applyAlignment="1" pivotButton="0" quotePrefix="0" xfId="0">
      <alignment horizontal="center"/>
    </xf>
    <xf numFmtId="0" fontId="60" fillId="0" borderId="76" applyAlignment="1" pivotButton="0" quotePrefix="0" xfId="0">
      <alignment horizontal="center"/>
    </xf>
    <xf numFmtId="3" fontId="60" fillId="0" borderId="76" applyAlignment="1" pivotButton="0" quotePrefix="0" xfId="0">
      <alignment horizontal="center"/>
    </xf>
    <xf numFmtId="178" fontId="60" fillId="0" borderId="76" applyAlignment="1" pivotButton="0" quotePrefix="0" xfId="0">
      <alignment horizontal="center"/>
    </xf>
    <xf numFmtId="174" fontId="60" fillId="0" borderId="76" applyAlignment="1" pivotButton="0" quotePrefix="0" xfId="0">
      <alignment horizontal="center"/>
    </xf>
    <xf numFmtId="0" fontId="61" fillId="0" borderId="1" applyAlignment="1" pivotButton="0" quotePrefix="0" xfId="0">
      <alignment horizontal="center" vertical="center" wrapText="1"/>
    </xf>
    <xf numFmtId="3" fontId="61" fillId="8" borderId="76" applyAlignment="1" pivotButton="0" quotePrefix="0" xfId="0">
      <alignment horizontal="center"/>
    </xf>
    <xf numFmtId="180" fontId="6" fillId="0" borderId="0" pivotButton="0" quotePrefix="0" xfId="3"/>
  </cellXfs>
  <cellStyles count="8">
    <cellStyle name="Обычный" xfId="0" builtinId="0"/>
    <cellStyle name="Normal 2" xfId="1"/>
    <cellStyle name="Обычный 2" xfId="2"/>
    <cellStyle name="Обычный_вариант 2" xfId="3"/>
    <cellStyle name="Обычный_Копия ItalSpum" xfId="4"/>
    <cellStyle name="Процентный" xfId="5" builtinId="5"/>
    <cellStyle name="Финансовый" xfId="6" builtinId="3"/>
    <cellStyle name="Финансовый [0]" xfId="7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externalLink" Target="/xl/externalLinks/externalLink1.xml" Id="rId16"/><Relationship Type="http://schemas.openxmlformats.org/officeDocument/2006/relationships/externalLink" Target="/xl/externalLinks/externalLink2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None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cked"/>
        <varyColors val="0"/>
        <ser>
          <idx val="0"/>
          <order val="0"/>
          <tx>
            <strRef>
              <f>ProfLoss!$B$17</f>
              <strCache>
                <ptCount val="1"/>
                <pt idx="0">
                  <v>Sof daromad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ru-RU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ProfLoss!$C$17:$I$17</f>
              <numCache>
                <formatCode>#,##0_);[Red]\(#,##0\)</formatCode>
                <ptCount val="7"/>
                <pt idx="0">
                  <v>335852549684.2857</v>
                </pt>
                <pt idx="1">
                  <v>360262219332.1428</v>
                </pt>
                <pt idx="2">
                  <v>384672788980</v>
                </pt>
                <pt idx="3">
                  <v>409085908627.8571</v>
                </pt>
                <pt idx="4">
                  <v>433498503275.7143</v>
                </pt>
                <pt idx="5">
                  <v>457912447923.5714</v>
                </pt>
                <pt idx="6">
                  <v>482325717571.4286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upDownBars>
          <gapWidth val="150"/>
          <upBars>
            <spPr>
              <a:solidFill xmlns:a="http://schemas.openxmlformats.org/drawingml/2006/main">
                <a:schemeClr val="lt1"/>
              </a:solidFill>
              <a:ln xmlns:a="http://schemas.openxmlformats.org/drawingml/2006/main" w="9525">
                <a:solidFill>
                  <a:schemeClr val="tx1">
                    <a:lumMod val="15000"/>
                    <a:lumOff val="85000"/>
                  </a:schemeClr>
                </a:solidFill>
                <a:prstDash val="solid"/>
              </a:ln>
            </spPr>
          </upBars>
          <downBars>
            <spPr>
              <a:solidFill xmlns:a="http://schemas.openxmlformats.org/drawingml/2006/main">
                <a:schemeClr val="dk1">
                  <a:lumMod val="65000"/>
                  <a:lumOff val="35000"/>
                </a:schemeClr>
              </a:solidFill>
              <a:ln xmlns:a="http://schemas.openxmlformats.org/drawingml/2006/main" w="9525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</a:ln>
            </spPr>
          </downBars>
        </upDownBars>
        <marker val="1"/>
        <smooth val="0"/>
        <axId val="131465728"/>
        <axId val="189594944"/>
      </lineChart>
      <catAx>
        <axId val="13146572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89594944"/>
        <crosses val="autoZero"/>
        <auto val="1"/>
        <lblAlgn val="ctr"/>
        <lblOffset val="100"/>
        <noMultiLvlLbl val="0"/>
      </catAx>
      <valAx>
        <axId val="189594944"/>
        <scaling>
          <orientation val="minMax"/>
        </scaling>
        <delete val="0"/>
        <axPos val="l"/>
        <numFmt formatCode="#,##0_);[Red]\(#,##0\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31465728"/>
        <crosses val="autoZero"/>
        <crossBetween val="between"/>
      </valAx>
    </plotArea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Yusupov T.</author>
  </authors>
  <commentList>
    <comment ref="C4" authorId="0" shapeId="0">
      <text>
        <t xml:space="preserve">А.Джумабеков: Гос.налог. Комитет РУ №2002-3 от 3.01.02г. Раздел 9: налог на имущество юр. Лиц уплачивается с среднегодовой остаточной стоимости имущества с учетом его переоценки по ставке 2 %.
</t>
      </text>
    </comment>
  </commentList>
</comments>
</file>

<file path=xl/comments/comment2.xml><?xml version="1.0" encoding="utf-8"?>
<comments xmlns="http://schemas.openxmlformats.org/spreadsheetml/2006/main">
  <authors>
    <author>Хайдаров У.</author>
  </authors>
  <commentList>
    <comment ref="B16" authorId="0" shapeId="0">
      <text>
        <t>Хайдаров У.:
Налог на соц.инф 6%, сбор за благ. территории - 2%, налог на рекламу 15% от марк. издержек, также надо учитивать налог на выбросы загрязняющих веществ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361950</colOff>
      <row>4</row>
      <rowOff>28575</rowOff>
    </from>
    <to>
      <col>16</col>
      <colOff>171450</colOff>
      <row>13</row>
      <rowOff>285750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M:\&#1040;&#1088;&#1093;&#1080;&#1074;\&#1054;&#1089;&#1085;&#1086;&#1074;&#1072;\&#1050;&#1086;&#1087;&#1080;&#1103;%20ItalSpum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User\Desktop\&#1179;&#1091;&#1105;&#1096;%20&#1087;&#1072;&#1085;&#1077;&#1083;%2060%20&#1086;&#1081;%2024%20&#1092;&#1086;&#1080;&#107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вестиционный период"/>
      <sheetName val="Финансовый план"/>
      <sheetName val="Амортизация"/>
      <sheetName val="План производства"/>
      <sheetName val="Программа продаж"/>
      <sheetName val="Стоимость материалов"/>
      <sheetName val="Заработная плата"/>
      <sheetName val="Налоги"/>
      <sheetName val="Средства инженерного обеспечени"/>
      <sheetName val="Оценка издержек производства"/>
      <sheetName val="График погашения"/>
      <sheetName val="Схема погашения кредита"/>
      <sheetName val="Годовые издер-ки на продан.прод"/>
      <sheetName val="Потребность в оборотном капитал"/>
      <sheetName val="Отчет о чистом доходе от операц"/>
      <sheetName val="Месячный поток"/>
      <sheetName val="Поток реальных денег"/>
      <sheetName val="Проек. балансовый отчет"/>
      <sheetName val="Дисконтированный поток денег"/>
      <sheetName val="Точка безубыточности"/>
      <sheetName val="Анализ чувствительности"/>
      <sheetName val="Лист1"/>
      <sheetName val="Расчет залога"/>
      <sheetName val="Расчет залога2"/>
      <sheetName val="Анализ"/>
      <sheetName val="Мусо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jCost"/>
      <sheetName val="FinPlan"/>
      <sheetName val="Share of Costs"/>
      <sheetName val="Depreciate"/>
      <sheetName val="Labour"/>
      <sheetName val="ProdPlan"/>
      <sheetName val="Loans"/>
      <sheetName val="Taxes"/>
      <sheetName val="Loans 2"/>
      <sheetName val="CostTotal"/>
      <sheetName val="CostSold"/>
      <sheetName val="ProfLoss"/>
      <sheetName val="CashFlow"/>
      <sheetName val="npv"/>
    </sheetNames>
    <sheetDataSet>
      <sheetData sheetId="0">
        <row r="13">
          <cell r="F13">
            <v>408000000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D3" t="str">
            <v>60 oy</v>
          </cell>
        </row>
      </sheetData>
      <sheetData sheetId="7"/>
      <sheetData sheetId="8"/>
      <sheetData sheetId="9"/>
      <sheetData sheetId="10"/>
      <sheetData sheetId="11"/>
      <sheetData sheetId="12">
        <row r="14">
          <cell r="D14">
            <v>243262530</v>
          </cell>
          <cell r="E14">
            <v>253234584</v>
          </cell>
          <cell r="F14">
            <v>259882620</v>
          </cell>
          <cell r="G14">
            <v>276502710</v>
          </cell>
          <cell r="H14">
            <v>293122800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D97"/>
  <sheetViews>
    <sheetView tabSelected="1" topLeftCell="A19" zoomScale="130" zoomScaleNormal="130" workbookViewId="0">
      <selection activeCell="B86" sqref="B86"/>
    </sheetView>
  </sheetViews>
  <sheetFormatPr baseColWidth="8" defaultRowHeight="15.75"/>
  <cols>
    <col width="11" customWidth="1" style="532" min="1" max="1"/>
    <col width="70.75" customWidth="1" style="532" min="2" max="2"/>
    <col width="14.25" customWidth="1" style="532" min="3" max="3"/>
  </cols>
  <sheetData>
    <row r="15">
      <c r="A15" s="503" t="n"/>
      <c r="B15" s="462" t="inlineStr">
        <is>
          <t xml:space="preserve">Loyiha nomi: </t>
        </is>
      </c>
      <c r="C15" s="503" t="n"/>
      <c r="D15" s="503" t="n"/>
    </row>
    <row r="16">
      <c r="A16" s="503" t="n"/>
      <c r="B16" s="313" t="inlineStr">
        <is>
          <t>Mebel ishlab chiqarish sexi</t>
        </is>
      </c>
      <c r="C16" s="503" t="n"/>
      <c r="D16" s="503" t="n"/>
    </row>
    <row r="17">
      <c r="A17" s="503" t="n"/>
      <c r="B17" s="462" t="inlineStr">
        <is>
          <t xml:space="preserve">Loyiha tashabbuskori: </t>
        </is>
      </c>
      <c r="C17" s="503" t="n"/>
      <c r="D17" s="503" t="n"/>
    </row>
    <row r="18">
      <c r="A18" s="503" t="n"/>
      <c r="B18" s="313" t="inlineStr">
        <is>
          <t>Orzu MCHJ</t>
        </is>
      </c>
      <c r="C18" s="503" t="n"/>
      <c r="D18" s="503" t="n"/>
    </row>
    <row r="19">
      <c r="A19" s="312" t="n"/>
      <c r="B19" s="462" t="inlineStr">
        <is>
          <t xml:space="preserve">Tadbirkor manzili: </t>
        </is>
      </c>
      <c r="C19" s="503" t="n"/>
      <c r="D19" s="503" t="n"/>
    </row>
    <row r="20">
      <c r="A20" s="503" t="n"/>
      <c r="B20" s="313" t="inlineStr">
        <is>
          <t>Toshkent sh., Yunusobod tumani</t>
        </is>
      </c>
      <c r="C20" s="503" t="n"/>
      <c r="D20" s="503" t="n"/>
    </row>
    <row r="21">
      <c r="A21" s="503" t="n"/>
      <c r="B21" s="462" t="inlineStr">
        <is>
          <t xml:space="preserve">Xizmat ko‘rsatuvchi bank: </t>
        </is>
      </c>
      <c r="C21" s="503" t="n"/>
      <c r="D21" s="503" t="n"/>
    </row>
    <row r="22">
      <c r="A22" s="503" t="n"/>
      <c r="B22" s="313" t="inlineStr">
        <is>
          <t>Hamkorbank ATB</t>
        </is>
      </c>
      <c r="C22" s="503" t="n"/>
      <c r="D22" s="503" t="n"/>
    </row>
    <row r="23">
      <c r="A23" s="503" t="n"/>
      <c r="B23" s="462" t="inlineStr">
        <is>
          <t xml:space="preserve">STIR: </t>
        </is>
      </c>
      <c r="C23" s="503" t="n"/>
      <c r="D23" s="503" t="n"/>
    </row>
    <row r="24">
      <c r="A24" s="503" t="n"/>
      <c r="B24" s="313" t="inlineStr">
        <is>
          <t>123456789</t>
        </is>
      </c>
      <c r="C24" s="503" t="n"/>
      <c r="D24" s="503" t="n"/>
    </row>
    <row r="25">
      <c r="A25" s="503" t="n"/>
      <c r="B25" s="462" t="inlineStr">
        <is>
          <t>JSHSHIR:</t>
        </is>
      </c>
      <c r="C25" s="503" t="n"/>
      <c r="D25" s="503" t="n"/>
    </row>
    <row r="26">
      <c r="A26" s="503" t="n"/>
      <c r="B26" s="313" t="inlineStr">
        <is>
          <t>12345678901234</t>
        </is>
      </c>
      <c r="C26" s="503" t="n"/>
      <c r="D26" s="503" t="n"/>
    </row>
    <row r="27">
      <c r="A27" s="312" t="n"/>
      <c r="B27" s="462" t="inlineStr">
        <is>
          <t xml:space="preserve">Asosiy faoliyat turi: </t>
        </is>
      </c>
      <c r="C27" s="503" t="n"/>
      <c r="D27" s="503" t="n"/>
    </row>
    <row r="28">
      <c r="A28" s="314" t="n"/>
      <c r="B28" s="313" t="inlineStr">
        <is>
          <t>Mebel ishlab chiqarish</t>
        </is>
      </c>
    </row>
    <row r="29">
      <c r="A29" s="314" t="n"/>
      <c r="B29" s="505" t="inlineStr">
        <is>
          <t xml:space="preserve">Mulkchilik shakli: </t>
        </is>
      </c>
    </row>
    <row r="30">
      <c r="A30" s="314" t="n"/>
      <c r="B30" s="313" t="inlineStr">
        <is>
          <t>MCHJ</t>
        </is>
      </c>
    </row>
    <row r="31">
      <c r="A31" s="314" t="n"/>
      <c r="B31" s="462" t="inlineStr">
        <is>
          <t xml:space="preserve">F.I.O: </t>
        </is>
      </c>
    </row>
    <row r="32">
      <c r="A32" s="314" t="n"/>
      <c r="B32" s="313" t="inlineStr">
        <is>
          <t>Karimov Azizbek</t>
        </is>
      </c>
    </row>
    <row r="33">
      <c r="A33" s="314" t="n"/>
      <c r="B33" s="462" t="inlineStr">
        <is>
          <t xml:space="preserve">Pasport ma'lumotlati: </t>
        </is>
      </c>
    </row>
    <row r="34">
      <c r="A34" s="314" t="n"/>
      <c r="B34" s="313" t="inlineStr">
        <is>
          <t>AA 1234567</t>
        </is>
      </c>
    </row>
    <row r="35">
      <c r="A35" s="312" t="n"/>
      <c r="B35" s="462" t="inlineStr">
        <is>
          <t xml:space="preserve">Berilgan vaqti: </t>
        </is>
      </c>
    </row>
    <row r="36">
      <c r="A36" s="314" t="n"/>
      <c r="B36" s="313" t="inlineStr">
        <is>
          <t>01.01.2020</t>
        </is>
      </c>
    </row>
    <row r="37">
      <c r="A37" s="314" t="n"/>
      <c r="B37" s="462" t="inlineStr">
        <is>
          <t xml:space="preserve">Loyihaning qiymati: </t>
        </is>
      </c>
    </row>
    <row r="38">
      <c r="A38" s="314" t="n"/>
      <c r="B38" s="313" t="inlineStr">
        <is>
          <t>500000000</t>
        </is>
      </c>
    </row>
    <row r="39">
      <c r="A39" s="314" t="n"/>
      <c r="B39" s="503" t="n"/>
    </row>
    <row r="40">
      <c r="A40" s="314" t="n"/>
      <c r="B40" s="505" t="n"/>
    </row>
    <row r="41">
      <c r="A41" s="314" t="n"/>
      <c r="B41" s="505" t="inlineStr">
        <is>
          <t>O'z mablag'i</t>
        </is>
      </c>
    </row>
    <row r="42">
      <c r="A42" s="314" t="n"/>
      <c r="B42" s="319" t="inlineStr">
        <is>
          <t>150000000</t>
        </is>
      </c>
    </row>
    <row r="43">
      <c r="A43" s="314" t="n"/>
      <c r="B43" s="503" t="inlineStr">
        <is>
          <t>So‘ralayotgan kredit summasi</t>
        </is>
      </c>
    </row>
    <row r="44">
      <c r="A44" s="314" t="n"/>
      <c r="B44" s="319" t="inlineStr">
        <is>
          <t>350000000</t>
        </is>
      </c>
    </row>
    <row r="45">
      <c r="A45" s="314" t="n"/>
      <c r="B45" s="503" t="inlineStr">
        <is>
          <t>Kredit muddati (oylarda)</t>
        </is>
      </c>
    </row>
    <row r="46">
      <c r="A46" s="314" t="n"/>
      <c r="B46" s="313" t="inlineStr">
        <is>
          <t>84</t>
        </is>
      </c>
    </row>
    <row r="47">
      <c r="A47" s="314" t="n"/>
      <c r="B47" s="503" t="inlineStr">
        <is>
          <t>Imtiyozli davr (oylarda)</t>
        </is>
      </c>
    </row>
    <row r="48">
      <c r="A48" s="314" t="n"/>
      <c r="B48" s="313" t="inlineStr">
        <is>
          <t>6</t>
        </is>
      </c>
    </row>
    <row r="49">
      <c r="A49" s="314" t="n"/>
      <c r="B49" s="503" t="inlineStr">
        <is>
          <t>Bank foiz stavkasi</t>
        </is>
      </c>
    </row>
    <row r="50">
      <c r="A50" s="314" t="n"/>
      <c r="B50" s="318" t="inlineStr">
        <is>
          <t>14</t>
        </is>
      </c>
    </row>
    <row r="51">
      <c r="A51" s="314" t="n"/>
      <c r="B51" s="502" t="n"/>
    </row>
    <row r="52">
      <c r="A52" s="314" t="n"/>
      <c r="B52" s="502" t="n"/>
    </row>
    <row r="53">
      <c r="A53" s="314" t="n"/>
      <c r="B53" s="502" t="n"/>
    </row>
    <row r="54">
      <c r="A54" s="314" t="n"/>
      <c r="B54" s="314" t="n"/>
    </row>
    <row r="55">
      <c r="B55" s="503" t="inlineStr">
        <is>
          <t>Mahsulot nomi</t>
        </is>
      </c>
    </row>
    <row r="56">
      <c r="B56" s="313" t="inlineStr">
        <is>
          <t>Yotoq mebeli</t>
        </is>
      </c>
    </row>
    <row r="57">
      <c r="B57" s="503" t="inlineStr">
        <is>
          <t>Mahsulotning yillik maksimal ishlab chiqarish hajmi</t>
        </is>
      </c>
    </row>
    <row r="58">
      <c r="B58" s="313" t="inlineStr">
        <is>
          <t>1200</t>
        </is>
      </c>
    </row>
    <row r="59">
      <c r="B59" s="503" t="inlineStr">
        <is>
          <t>O‘lchov birligi (mahsulot soni)</t>
        </is>
      </c>
    </row>
    <row r="60">
      <c r="B60" s="313" t="inlineStr">
        <is>
          <t>dona</t>
        </is>
      </c>
    </row>
    <row r="61">
      <c r="B61" s="503" t="inlineStr">
        <is>
          <t>Mahsulot sotish narxi (bir dona uchun, QQSsiz, loyiha valyutasida)</t>
        </is>
      </c>
    </row>
    <row r="62">
      <c r="B62" s="313" t="inlineStr">
        <is>
          <t>1500000</t>
        </is>
      </c>
    </row>
    <row r="63">
      <c r="B63" s="505" t="n"/>
    </row>
    <row r="64">
      <c r="B64" s="503" t="inlineStr">
        <is>
          <t>Direktor</t>
        </is>
      </c>
    </row>
    <row r="65">
      <c r="B65" s="313" t="inlineStr">
        <is>
          <t>1</t>
        </is>
      </c>
    </row>
    <row r="66">
      <c r="B66" s="503" t="inlineStr">
        <is>
          <t>Ishlab chiqarish xodimlari soni</t>
        </is>
      </c>
    </row>
    <row r="67">
      <c r="B67" s="313" t="inlineStr">
        <is>
          <t>8</t>
        </is>
      </c>
    </row>
    <row r="68">
      <c r="B68" s="503" t="inlineStr">
        <is>
          <t>Yangi ishchi xodimlar soni</t>
        </is>
      </c>
    </row>
    <row r="69">
      <c r="B69" s="313" t="inlineStr">
        <is>
          <t>3</t>
        </is>
      </c>
    </row>
    <row r="71">
      <c r="B71" s="503" t="inlineStr">
        <is>
          <t>Ishlab chiqarish xodimlarining o‘rtacha oyligi</t>
        </is>
      </c>
    </row>
    <row r="72">
      <c r="B72" s="313" t="inlineStr">
        <is>
          <t>3000000</t>
        </is>
      </c>
    </row>
    <row r="73">
      <c r="B73" s="503" t="inlineStr">
        <is>
          <t>Rahbar oyligi</t>
        </is>
      </c>
    </row>
    <row r="74">
      <c r="B74" s="313" t="inlineStr">
        <is>
          <t>5000000</t>
        </is>
      </c>
    </row>
    <row r="75">
      <c r="B75" s="503" t="inlineStr">
        <is>
          <t>Yangi ishchi xodimlar oyligi</t>
        </is>
      </c>
    </row>
    <row r="76">
      <c r="B76" s="313" t="inlineStr">
        <is>
          <t>2500000</t>
        </is>
      </c>
    </row>
    <row r="78">
      <c r="A78" s="312" t="n"/>
    </row>
    <row r="79">
      <c r="B79" s="503" t="inlineStr">
        <is>
          <t>Mahsulot ishlab chiqarishda foydalaniladigan muhandislik tarmoqlarini belgilang</t>
        </is>
      </c>
    </row>
    <row r="80">
      <c r="B80" s="503" t="inlineStr">
        <is>
          <t>Elektr energiyasi</t>
        </is>
      </c>
    </row>
    <row r="81">
      <c r="B81" s="313" t="inlineStr">
        <is>
          <t>500</t>
        </is>
      </c>
    </row>
    <row r="82">
      <c r="B82" s="503" t="inlineStr">
        <is>
          <t>Gaz</t>
        </is>
      </c>
    </row>
    <row r="83">
      <c r="B83" s="313" t="inlineStr">
        <is>
          <t>100</t>
        </is>
      </c>
    </row>
    <row r="84">
      <c r="B84" s="503" t="inlineStr">
        <is>
          <t>Suv</t>
        </is>
      </c>
    </row>
    <row r="85">
      <c r="B85" s="313" t="inlineStr">
        <is>
          <t>50</t>
        </is>
      </c>
    </row>
    <row r="86">
      <c r="B86" s="503" t="inlineStr">
        <is>
          <t>Oqava suv</t>
        </is>
      </c>
    </row>
    <row r="87">
      <c r="B87" s="313" t="inlineStr">
        <is>
          <t>30</t>
        </is>
      </c>
    </row>
    <row r="90">
      <c r="B90" s="503" t="n">
        <v>6858711.43537036</v>
      </c>
    </row>
    <row r="91">
      <c r="B91" s="505" t="n">
        <v>559479491.9588889</v>
      </c>
    </row>
    <row r="92">
      <c r="B92" s="503" t="n">
        <v>209479491.95889</v>
      </c>
    </row>
    <row r="93">
      <c r="B93" s="505" t="n"/>
    </row>
    <row r="94">
      <c r="B94" s="503" t="n"/>
    </row>
    <row r="95">
      <c r="B95" s="505" t="n"/>
    </row>
    <row r="96">
      <c r="B96" s="504" t="n"/>
    </row>
    <row r="97">
      <c r="B97" s="50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Лист2">
    <outlinePr summaryBelow="1" summaryRight="1"/>
    <pageSetUpPr fitToPage="1"/>
  </sheetPr>
  <dimension ref="B1:AK55"/>
  <sheetViews>
    <sheetView showGridLines="0" view="pageBreakPreview" zoomScale="85" zoomScaleNormal="75" zoomScaleSheetLayoutView="85" workbookViewId="0">
      <selection activeCell="G4" sqref="G4"/>
    </sheetView>
  </sheetViews>
  <sheetFormatPr baseColWidth="8" defaultColWidth="8" defaultRowHeight="12.75"/>
  <cols>
    <col width="8.75" customWidth="1" style="520" min="1" max="1"/>
    <col width="27.875" customWidth="1" style="520" min="2" max="2"/>
    <col hidden="1" width="0.125" customWidth="1" style="520" min="3" max="3"/>
    <col width="19.375" customWidth="1" style="520" min="4" max="5"/>
    <col width="17.875" bestFit="1" customWidth="1" style="520" min="6" max="6"/>
    <col width="11.25" bestFit="1" customWidth="1" style="520" min="7" max="7"/>
    <col width="8" customWidth="1" style="520" min="8" max="40"/>
    <col width="8" customWidth="1" style="520" min="41" max="16384"/>
  </cols>
  <sheetData>
    <row r="1" ht="25.15" customFormat="1" customHeight="1" s="302">
      <c r="B1" s="93" t="n"/>
      <c r="C1" s="93" t="n"/>
      <c r="G1" s="94" t="n"/>
      <c r="H1" s="58" t="n"/>
      <c r="I1" s="58" t="n"/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</row>
    <row r="2" ht="15.75" customFormat="1" customHeight="1" s="302">
      <c r="B2" s="315" t="inlineStr">
        <is>
          <t>LOYIHA QIYMATI</t>
        </is>
      </c>
      <c r="C2" s="99" t="n"/>
      <c r="D2" s="95" t="n"/>
      <c r="E2" s="95" t="n"/>
      <c r="F2" s="96" t="n"/>
      <c r="G2" s="316" t="inlineStr">
        <is>
          <t>1-ILOVA</t>
        </is>
      </c>
      <c r="H2" s="58" t="n"/>
      <c r="I2" s="58" t="n"/>
      <c r="J2" s="58" t="n"/>
      <c r="K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</row>
    <row r="3" ht="28.5" customHeight="1" s="532">
      <c r="B3" s="300" t="n"/>
      <c r="C3" s="300" t="inlineStr">
        <is>
          <t>%</t>
        </is>
      </c>
      <c r="D3" s="301">
        <f>+ВВОД!B23</f>
        <v/>
      </c>
      <c r="E3" s="301" t="inlineStr">
        <is>
          <t>BANK KREDITI, so'm</t>
        </is>
      </c>
      <c r="F3" s="300" t="inlineStr">
        <is>
          <t>Jami (so'm)</t>
        </is>
      </c>
      <c r="G3" s="301" t="inlineStr">
        <is>
          <t>Foiz hisobida</t>
        </is>
      </c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</row>
    <row r="4" ht="32.25" customHeight="1" s="532">
      <c r="B4" s="205" t="inlineStr">
        <is>
          <t>Asosiy vositalarni sotib olish (mebel jihozlari)</t>
        </is>
      </c>
      <c r="C4" s="206" t="n"/>
      <c r="D4" s="207" t="n">
        <v>0</v>
      </c>
      <c r="E4" s="320">
        <f>+ВВОД!B44</f>
        <v/>
      </c>
      <c r="F4" s="208">
        <f>E4+D4</f>
        <v/>
      </c>
      <c r="G4" s="327">
        <f>F4/$F$13</f>
        <v/>
      </c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58" t="n"/>
      <c r="S4" s="58" t="n"/>
      <c r="T4" s="58" t="n"/>
      <c r="U4" s="58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</row>
    <row r="5" ht="15.75" customHeight="1" s="532">
      <c r="B5" s="205" t="inlineStr">
        <is>
          <t>Asosiy vositalar</t>
        </is>
      </c>
      <c r="C5" s="206" t="n"/>
      <c r="D5" s="207">
        <f>+ВВОД!B42</f>
        <v/>
      </c>
      <c r="E5" s="207" t="n">
        <v>0</v>
      </c>
      <c r="F5" s="208">
        <f>D5</f>
        <v/>
      </c>
      <c r="G5" s="327">
        <f>F5/F13</f>
        <v/>
      </c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</row>
    <row r="6" ht="22.5" customHeight="1" s="532">
      <c r="B6" s="209" t="inlineStr">
        <is>
          <t>JAMI mablag'lar</t>
        </is>
      </c>
      <c r="C6" s="328" t="n"/>
      <c r="D6" s="98">
        <f>+SUM(D4:D5)</f>
        <v/>
      </c>
      <c r="E6" s="98">
        <f>SUM(E4:E4)</f>
        <v/>
      </c>
      <c r="F6" s="98">
        <f>SUM(F4:F4)</f>
        <v/>
      </c>
      <c r="G6" s="327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</row>
    <row r="7" ht="15.75" customHeight="1" s="532">
      <c r="B7" s="210" t="inlineStr">
        <is>
          <t>Aylanma kapital</t>
        </is>
      </c>
      <c r="C7" s="329" t="n"/>
      <c r="D7" s="98">
        <f>SUM(D8:D8)+D9</f>
        <v/>
      </c>
      <c r="E7" s="98" t="n">
        <v>0</v>
      </c>
      <c r="F7" s="98">
        <f>SUM(C7:D7)</f>
        <v/>
      </c>
      <c r="G7" s="327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  <c r="U7" s="58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</row>
    <row r="8" ht="15.75" customHeight="1" s="532">
      <c r="B8" s="211" t="inlineStr">
        <is>
          <t>Aylanma kapital</t>
        </is>
      </c>
      <c r="D8" s="330">
        <f>'Share of Costs'!G8</f>
        <v/>
      </c>
      <c r="E8" s="330" t="n">
        <v>0</v>
      </c>
      <c r="F8" s="208">
        <f>SUM(C8:D8)</f>
        <v/>
      </c>
      <c r="G8" s="327">
        <f>F8/$F$13</f>
        <v/>
      </c>
      <c r="H8" s="58" t="n"/>
      <c r="I8" s="58" t="n"/>
      <c r="J8" s="58" t="n"/>
      <c r="K8" s="58" t="n"/>
      <c r="L8" s="58" t="n"/>
      <c r="M8" s="58" t="n"/>
      <c r="N8" s="58" t="n"/>
      <c r="O8" s="58" t="n"/>
      <c r="P8" s="58" t="n"/>
      <c r="Q8" s="58" t="n"/>
      <c r="R8" s="58" t="n"/>
      <c r="S8" s="58" t="n"/>
      <c r="T8" s="58" t="n"/>
      <c r="U8" s="58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</row>
    <row r="9" hidden="1" ht="19.9" customHeight="1" s="532">
      <c r="B9" s="212" t="inlineStr">
        <is>
          <t>MOLIYAVIY XARAJATLAR</t>
        </is>
      </c>
      <c r="C9" s="329" t="n"/>
      <c r="D9" s="213">
        <f>'Share of Costs'!G9</f>
        <v/>
      </c>
      <c r="E9" s="213" t="n"/>
      <c r="F9" s="213">
        <f>SUM(D9:D9)</f>
        <v/>
      </c>
      <c r="G9" s="327">
        <f>F9/$F$13</f>
        <v/>
      </c>
      <c r="H9" s="58" t="n"/>
      <c r="I9" s="58" t="n"/>
      <c r="J9" s="58" t="n"/>
      <c r="K9" s="58" t="n"/>
      <c r="L9" s="58" t="n"/>
      <c r="M9" s="58" t="n"/>
      <c r="N9" s="58" t="n"/>
      <c r="O9" s="58" t="n"/>
      <c r="P9" s="58" t="n"/>
      <c r="Q9" s="58" t="n"/>
      <c r="R9" s="58" t="n"/>
      <c r="S9" s="58" t="n"/>
      <c r="T9" s="58" t="n"/>
      <c r="U9" s="58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</row>
    <row r="10" ht="15.75" customHeight="1" s="532">
      <c r="B10" s="210" t="inlineStr">
        <is>
          <t>MOLIYAVIY XARAJATLAR</t>
        </is>
      </c>
      <c r="C10" s="331" t="n"/>
      <c r="D10" s="214">
        <f>SUM(D11:D12)</f>
        <v/>
      </c>
      <c r="E10" s="214">
        <f>+E12</f>
        <v/>
      </c>
      <c r="F10" s="214">
        <f>SUM(F11:F12)</f>
        <v/>
      </c>
      <c r="G10" s="327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</row>
    <row r="11" ht="15.75" customHeight="1" s="532">
      <c r="B11" s="210" t="inlineStr">
        <is>
          <t>Sug'urta</t>
        </is>
      </c>
      <c r="C11" s="329" t="n"/>
      <c r="D11" s="207">
        <f>'Share of Costs'!C11</f>
        <v/>
      </c>
      <c r="E11" s="207" t="n">
        <v>0</v>
      </c>
      <c r="F11" s="208">
        <f>SUM(D11:D11)</f>
        <v/>
      </c>
      <c r="G11" s="215">
        <f>F11/$F$13</f>
        <v/>
      </c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</row>
    <row r="12" ht="31.5" customHeight="1" s="532">
      <c r="B12" s="211" t="inlineStr">
        <is>
          <t>Kredit olish uchun boshqa xarajatlar</t>
        </is>
      </c>
      <c r="C12" s="331" t="n"/>
      <c r="D12" s="207">
        <f>'Share of Costs'!C12</f>
        <v/>
      </c>
      <c r="E12" s="207" t="n">
        <v>0</v>
      </c>
      <c r="F12" s="208">
        <f>SUM(D12:D12)</f>
        <v/>
      </c>
      <c r="G12" s="215">
        <f>F12/$F$13</f>
        <v/>
      </c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</row>
    <row r="13" ht="15.75" customHeight="1" s="532">
      <c r="B13" s="228" t="inlineStr">
        <is>
          <t>LOYIHA QIYMATI</t>
        </is>
      </c>
      <c r="C13" s="216" t="n"/>
      <c r="D13" s="332">
        <f>D7+D6+D10</f>
        <v/>
      </c>
      <c r="E13" s="332">
        <f>+E4+E5</f>
        <v/>
      </c>
      <c r="F13" s="333">
        <f>E13+D13</f>
        <v/>
      </c>
      <c r="G13" s="217">
        <f>SUM(G4:G12)</f>
        <v/>
      </c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</row>
    <row r="14" ht="15.75" customHeight="1" s="532">
      <c r="B14" s="58" t="n"/>
      <c r="C14" s="58" t="n"/>
      <c r="D14" s="58" t="n"/>
      <c r="E14" s="58" t="n"/>
      <c r="F14" s="58" t="n"/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</row>
    <row r="15" ht="15.75" customHeight="1" s="532">
      <c r="D15" s="334" t="n"/>
      <c r="E15" s="190" t="n"/>
      <c r="F15" s="302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</row>
    <row r="16" ht="21" customHeight="1" s="532"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</row>
    <row r="17" ht="25.5" customHeight="1" s="532">
      <c r="B17" s="58" t="n"/>
      <c r="C17" s="58" t="n"/>
      <c r="D17" s="61" t="n"/>
      <c r="E17" s="61" t="n"/>
      <c r="F17" s="58" t="n"/>
      <c r="G17" s="58" t="n"/>
      <c r="H17" s="97" t="n"/>
      <c r="I17" s="97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  <c r="T17" s="97" t="n"/>
      <c r="U17" s="97" t="n"/>
    </row>
    <row r="18" ht="15.75" customHeight="1" s="532">
      <c r="B18" s="58" t="n"/>
      <c r="C18" s="58" t="n"/>
      <c r="D18" s="58" t="n"/>
      <c r="E18" s="58" t="n"/>
      <c r="F18" s="58" t="n"/>
      <c r="G18" s="58" t="n"/>
      <c r="H18" s="97" t="n"/>
      <c r="I18" s="97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  <c r="T18" s="97" t="n"/>
      <c r="U18" s="97" t="n"/>
    </row>
    <row r="19" ht="15.75" customHeight="1" s="532">
      <c r="B19" s="58" t="n"/>
      <c r="C19" s="58" t="n"/>
      <c r="D19" s="58" t="n"/>
      <c r="E19" s="58" t="n"/>
      <c r="F19" s="58" t="n"/>
      <c r="G19" s="58" t="n"/>
      <c r="H19" s="97" t="n"/>
      <c r="I19" s="97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  <c r="T19" s="97" t="n"/>
      <c r="U19" s="97" t="n"/>
    </row>
    <row r="20" ht="15.75" customHeight="1" s="532">
      <c r="B20" s="58" t="n"/>
      <c r="C20" s="58" t="n"/>
      <c r="D20" s="58" t="n"/>
      <c r="E20" s="58" t="n"/>
      <c r="F20" s="58" t="n"/>
      <c r="G20" s="58" t="n"/>
      <c r="H20" s="97" t="n"/>
      <c r="I20" s="97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  <c r="T20" s="97" t="n"/>
      <c r="U20" s="97" t="n"/>
    </row>
    <row r="21" ht="15.75" customHeight="1" s="532">
      <c r="B21" s="58" t="n"/>
      <c r="C21" s="58" t="n"/>
      <c r="D21" s="58" t="n"/>
      <c r="E21" s="58" t="n"/>
      <c r="F21" s="58" t="n"/>
      <c r="G21" s="58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</row>
    <row r="22" ht="15.75" customHeight="1" s="532">
      <c r="B22" s="58" t="n"/>
      <c r="C22" s="58" t="n"/>
      <c r="D22" s="58" t="n"/>
      <c r="E22" s="58" t="n"/>
      <c r="F22" s="58" t="n"/>
      <c r="G22" s="58" t="n"/>
      <c r="H22" s="97" t="n"/>
      <c r="I22" s="97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  <c r="T22" s="97" t="n"/>
      <c r="U22" s="97" t="n"/>
    </row>
    <row r="23" ht="15.75" customHeight="1" s="532">
      <c r="B23" s="58" t="n"/>
      <c r="C23" s="58" t="n"/>
      <c r="D23" s="58" t="n"/>
      <c r="E23" s="58" t="n"/>
      <c r="F23" s="58" t="n"/>
      <c r="G23" s="58" t="n"/>
      <c r="H23" s="97" t="n"/>
      <c r="I23" s="97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  <c r="T23" s="97" t="n"/>
      <c r="U23" s="97" t="n"/>
    </row>
    <row r="24" ht="15.75" customHeight="1" s="532">
      <c r="B24" s="58" t="n"/>
      <c r="C24" s="58" t="n"/>
      <c r="D24" s="58" t="n"/>
      <c r="E24" s="58" t="n"/>
      <c r="F24" s="58" t="n"/>
      <c r="G24" s="58" t="n"/>
      <c r="H24" s="97" t="n"/>
      <c r="I24" s="97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  <c r="T24" s="97" t="n"/>
      <c r="U24" s="97" t="n"/>
    </row>
    <row r="25" ht="15.75" customHeight="1" s="532">
      <c r="B25" s="58" t="n"/>
      <c r="C25" s="58" t="n"/>
      <c r="D25" s="58" t="n"/>
      <c r="E25" s="58" t="n"/>
      <c r="F25" s="58" t="n"/>
      <c r="G25" s="58" t="n"/>
      <c r="H25" s="97" t="n"/>
      <c r="I25" s="97" t="n"/>
      <c r="J25" s="97" t="n"/>
      <c r="K25" s="97" t="n"/>
      <c r="L25" s="97" t="n"/>
      <c r="M25" s="97" t="n"/>
      <c r="N25" s="97" t="n"/>
      <c r="O25" s="97" t="n"/>
      <c r="P25" s="97" t="n"/>
      <c r="Q25" s="97" t="n"/>
      <c r="R25" s="97" t="n"/>
      <c r="S25" s="97" t="n"/>
      <c r="T25" s="97" t="n"/>
      <c r="U25" s="97" t="n"/>
    </row>
    <row r="26" ht="15.75" customHeight="1" s="532">
      <c r="B26" s="58" t="n"/>
      <c r="C26" s="58" t="n"/>
      <c r="D26" s="58" t="n"/>
      <c r="E26" s="58" t="n"/>
      <c r="F26" s="58" t="n"/>
      <c r="G26" s="58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</row>
    <row r="27" ht="15.75" customHeight="1" s="532">
      <c r="B27" s="58" t="n"/>
      <c r="C27" s="58" t="n"/>
      <c r="D27" s="58" t="n"/>
      <c r="E27" s="58" t="n"/>
      <c r="F27" s="58" t="n"/>
      <c r="G27" s="58" t="n"/>
      <c r="H27" s="97" t="n"/>
      <c r="I27" s="97" t="n"/>
      <c r="J27" s="97" t="n"/>
      <c r="K27" s="97" t="n"/>
      <c r="L27" s="97" t="n"/>
      <c r="M27" s="97" t="n"/>
      <c r="N27" s="97" t="n"/>
      <c r="O27" s="97" t="n"/>
      <c r="P27" s="97" t="n"/>
      <c r="Q27" s="97" t="n"/>
      <c r="R27" s="97" t="n"/>
      <c r="S27" s="97" t="n"/>
      <c r="T27" s="97" t="n"/>
      <c r="U27" s="97" t="n"/>
    </row>
    <row r="28" ht="15.75" customHeight="1" s="532">
      <c r="B28" s="58" t="n"/>
      <c r="C28" s="58" t="n"/>
      <c r="D28" s="58" t="n"/>
      <c r="E28" s="58" t="n"/>
      <c r="F28" s="58" t="n"/>
      <c r="G28" s="58" t="n"/>
      <c r="H28" s="97" t="n"/>
      <c r="I28" s="97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</row>
    <row r="29" ht="15.75" customHeight="1" s="532">
      <c r="B29" s="58" t="n"/>
      <c r="C29" s="58" t="n"/>
      <c r="D29" s="58" t="n"/>
      <c r="E29" s="58" t="n"/>
      <c r="F29" s="58" t="n"/>
      <c r="G29" s="58" t="n"/>
      <c r="H29" s="97" t="n"/>
      <c r="I29" s="97" t="n"/>
      <c r="J29" s="97" t="n"/>
      <c r="K29" s="97" t="n"/>
      <c r="L29" s="97" t="n"/>
      <c r="M29" s="97" t="n"/>
      <c r="N29" s="97" t="n"/>
      <c r="O29" s="97" t="n"/>
      <c r="P29" s="97" t="n"/>
      <c r="Q29" s="97" t="n"/>
      <c r="R29" s="97" t="n"/>
      <c r="S29" s="97" t="n"/>
      <c r="T29" s="97" t="n"/>
      <c r="U29" s="97" t="n"/>
    </row>
    <row r="30" ht="15.75" customHeight="1" s="532">
      <c r="B30" s="58" t="n"/>
      <c r="C30" s="58" t="n"/>
      <c r="D30" s="58" t="n"/>
      <c r="E30" s="58" t="n"/>
      <c r="F30" s="58" t="n"/>
      <c r="G30" s="58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</row>
    <row r="31" ht="15.75" customHeight="1" s="532">
      <c r="B31" s="58" t="n"/>
      <c r="C31" s="58" t="n"/>
      <c r="D31" s="58" t="n"/>
      <c r="E31" s="58" t="n"/>
      <c r="F31" s="58" t="n"/>
      <c r="G31" s="58" t="n"/>
      <c r="H31" s="97" t="n"/>
      <c r="I31" s="97" t="n"/>
      <c r="J31" s="97" t="n"/>
      <c r="K31" s="97" t="n"/>
      <c r="L31" s="97" t="n"/>
      <c r="M31" s="97" t="n"/>
      <c r="N31" s="97" t="n"/>
      <c r="O31" s="97" t="n"/>
      <c r="P31" s="97" t="n"/>
      <c r="Q31" s="97" t="n"/>
      <c r="R31" s="97" t="n"/>
      <c r="S31" s="97" t="n"/>
      <c r="T31" s="97" t="n"/>
      <c r="U31" s="97" t="n"/>
    </row>
    <row r="32" ht="15.75" customHeight="1" s="532">
      <c r="B32" s="58" t="n"/>
      <c r="C32" s="58" t="n"/>
      <c r="D32" s="58" t="n"/>
      <c r="E32" s="58" t="n"/>
      <c r="F32" s="58" t="n"/>
      <c r="G32" s="58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97" t="n"/>
      <c r="S32" s="97" t="n"/>
      <c r="T32" s="97" t="n"/>
      <c r="U32" s="97" t="n"/>
    </row>
    <row r="33" ht="15.75" customHeight="1" s="532">
      <c r="B33" s="58" t="n"/>
      <c r="C33" s="58" t="n"/>
      <c r="D33" s="58" t="n"/>
      <c r="E33" s="58" t="n"/>
      <c r="F33" s="58" t="n"/>
      <c r="G33" s="58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</row>
    <row r="34" ht="15.75" customHeight="1" s="532">
      <c r="B34" s="58" t="n"/>
      <c r="C34" s="58" t="n"/>
      <c r="D34" s="58" t="n"/>
      <c r="E34" s="58" t="n"/>
      <c r="F34" s="58" t="n"/>
      <c r="G34" s="58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</row>
    <row r="35" ht="15.75" customHeight="1" s="532">
      <c r="B35" s="58" t="n"/>
      <c r="C35" s="58" t="n"/>
      <c r="D35" s="58" t="n"/>
      <c r="E35" s="58" t="n"/>
      <c r="F35" s="58" t="n"/>
      <c r="G35" s="58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</row>
    <row r="36" ht="15.75" customHeight="1" s="532">
      <c r="B36" s="58" t="n"/>
      <c r="C36" s="58" t="n"/>
      <c r="D36" s="58" t="n"/>
      <c r="E36" s="58" t="n"/>
      <c r="F36" s="58" t="n"/>
      <c r="G36" s="58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</row>
    <row r="37" ht="15.75" customHeight="1" s="532">
      <c r="B37" s="58" t="n"/>
      <c r="C37" s="58" t="n"/>
      <c r="D37" s="58" t="n"/>
      <c r="E37" s="58" t="n"/>
      <c r="F37" s="58" t="n"/>
      <c r="G37" s="58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</row>
    <row r="38" ht="15.75" customHeight="1" s="532">
      <c r="B38" s="58" t="n"/>
      <c r="C38" s="58" t="n"/>
      <c r="D38" s="58" t="n"/>
      <c r="E38" s="58" t="n"/>
      <c r="F38" s="58" t="n"/>
      <c r="G38" s="58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</row>
    <row r="39" ht="15.75" customHeight="1" s="532">
      <c r="B39" s="58" t="n"/>
      <c r="C39" s="58" t="n"/>
      <c r="D39" s="58" t="n"/>
      <c r="E39" s="58" t="n"/>
      <c r="F39" s="58" t="n"/>
      <c r="G39" s="58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</row>
    <row r="40" ht="15.75" customHeight="1" s="532">
      <c r="B40" s="58" t="n"/>
      <c r="C40" s="58" t="n"/>
      <c r="D40" s="58" t="n"/>
      <c r="E40" s="58" t="n"/>
      <c r="F40" s="58" t="n"/>
      <c r="G40" s="58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</row>
    <row r="41" ht="15.75" customHeight="1" s="532">
      <c r="B41" s="58" t="n"/>
      <c r="C41" s="58" t="n"/>
      <c r="D41" s="58" t="n"/>
      <c r="E41" s="58" t="n"/>
      <c r="F41" s="58" t="n"/>
      <c r="G41" s="58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</row>
    <row r="42" ht="15.75" customHeight="1" s="532">
      <c r="B42" s="58" t="n"/>
      <c r="C42" s="58" t="n"/>
      <c r="D42" s="58" t="n"/>
      <c r="E42" s="58" t="n"/>
      <c r="F42" s="58" t="n"/>
      <c r="G42" s="58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</row>
    <row r="43" ht="15.75" customHeight="1" s="532">
      <c r="B43" s="58" t="n"/>
      <c r="C43" s="58" t="n"/>
      <c r="D43" s="58" t="n"/>
      <c r="E43" s="58" t="n"/>
      <c r="F43" s="58" t="n"/>
      <c r="G43" s="58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</row>
    <row r="44" ht="15.75" customHeight="1" s="532">
      <c r="B44" s="58" t="n"/>
      <c r="C44" s="58" t="n"/>
      <c r="D44" s="58" t="n"/>
      <c r="E44" s="58" t="n"/>
      <c r="F44" s="58" t="n"/>
      <c r="G44" s="58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</row>
    <row r="45" ht="15.75" customHeight="1" s="532">
      <c r="B45" s="58" t="n"/>
      <c r="C45" s="58" t="n"/>
      <c r="D45" s="58" t="n"/>
      <c r="E45" s="58" t="n"/>
      <c r="F45" s="58" t="n"/>
      <c r="G45" s="58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</row>
    <row r="46" ht="15.75" customHeight="1" s="532">
      <c r="B46" s="58" t="n"/>
      <c r="C46" s="58" t="n"/>
      <c r="D46" s="58" t="n"/>
      <c r="E46" s="58" t="n"/>
      <c r="F46" s="58" t="n"/>
      <c r="G46" s="58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</row>
    <row r="47" ht="15.75" customHeight="1" s="532">
      <c r="B47" s="58" t="n"/>
      <c r="C47" s="58" t="n"/>
      <c r="D47" s="58" t="n"/>
      <c r="E47" s="58" t="n"/>
      <c r="F47" s="58" t="n"/>
      <c r="G47" s="58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</row>
    <row r="48" ht="15.75" customHeight="1" s="532">
      <c r="B48" s="58" t="n"/>
      <c r="C48" s="58" t="n"/>
      <c r="D48" s="58" t="n"/>
      <c r="E48" s="58" t="n"/>
      <c r="F48" s="58" t="n"/>
      <c r="G48" s="58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</row>
    <row r="49" ht="15.75" customHeight="1" s="532">
      <c r="B49" s="58" t="n"/>
      <c r="C49" s="58" t="n"/>
      <c r="D49" s="58" t="n"/>
      <c r="E49" s="58" t="n"/>
      <c r="F49" s="58" t="n"/>
      <c r="G49" s="58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</row>
    <row r="50" ht="15.75" customHeight="1" s="532">
      <c r="B50" s="58" t="n"/>
      <c r="C50" s="58" t="n"/>
      <c r="D50" s="58" t="n"/>
      <c r="E50" s="58" t="n"/>
      <c r="F50" s="58" t="n"/>
      <c r="G50" s="58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</row>
    <row r="51" ht="15.75" customHeight="1" s="532">
      <c r="B51" s="58" t="n"/>
      <c r="C51" s="58" t="n"/>
      <c r="D51" s="58" t="n"/>
      <c r="E51" s="58" t="n"/>
      <c r="F51" s="58" t="n"/>
      <c r="G51" s="58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</row>
    <row r="52" ht="15.75" customHeight="1" s="532">
      <c r="B52" s="58" t="n"/>
      <c r="C52" s="58" t="n"/>
      <c r="D52" s="58" t="n"/>
      <c r="E52" s="58" t="n"/>
      <c r="F52" s="58" t="n"/>
      <c r="G52" s="58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</row>
    <row r="53" ht="15.75" customHeight="1" s="532">
      <c r="B53" s="58" t="n"/>
      <c r="C53" s="58" t="n"/>
      <c r="D53" s="58" t="n"/>
      <c r="E53" s="58" t="n"/>
      <c r="F53" s="58" t="n"/>
      <c r="G53" s="58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</row>
    <row r="54" ht="15.75" customHeight="1" s="532">
      <c r="B54" s="58" t="n"/>
      <c r="C54" s="58" t="n"/>
      <c r="D54" s="58" t="n"/>
      <c r="E54" s="58" t="n"/>
      <c r="F54" s="58" t="n"/>
      <c r="G54" s="58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</row>
    <row r="55" ht="15" customHeight="1" s="532"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</row>
  </sheetData>
  <printOptions horizontalCentered="1" verticalCentered="1"/>
  <pageMargins left="0.1968503937007874" right="0.1574803149606299" top="0.1968503937007874" bottom="0.1968503937007874" header="0.1574803149606299" footer="0.1968503937007874"/>
  <pageSetup orientation="landscape" paperSize="9"/>
</worksheet>
</file>

<file path=xl/worksheets/sheet3.xml><?xml version="1.0" encoding="utf-8"?>
<worksheet xmlns="http://schemas.openxmlformats.org/spreadsheetml/2006/main">
  <sheetPr codeName="Лист3">
    <outlinePr summaryBelow="1" summaryRight="1"/>
    <pageSetUpPr fitToPage="1"/>
  </sheetPr>
  <dimension ref="B1:AN72"/>
  <sheetViews>
    <sheetView showGridLines="0" view="pageBreakPreview" zoomScale="84" zoomScaleNormal="75" zoomScaleSheetLayoutView="84" workbookViewId="0">
      <selection activeCell="F8" sqref="F8"/>
    </sheetView>
  </sheetViews>
  <sheetFormatPr baseColWidth="8" defaultColWidth="8" defaultRowHeight="12.75" outlineLevelRow="1"/>
  <cols>
    <col width="8.75" customWidth="1" style="520" min="1" max="1"/>
    <col width="24.75" customWidth="1" style="520" min="2" max="2"/>
    <col hidden="1" width="0.25" customWidth="1" style="520" min="3" max="3"/>
    <col width="17.625" customWidth="1" style="520" min="4" max="4"/>
    <col width="16.25" customWidth="1" style="520" min="5" max="5"/>
    <col width="13.25" customWidth="1" style="520" min="6" max="6"/>
    <col width="12.875" customWidth="1" style="520" min="7" max="7"/>
    <col width="8.875" customWidth="1" style="520" min="8" max="8"/>
    <col width="8" customWidth="1" style="520" min="9" max="41"/>
    <col width="8" customWidth="1" style="520" min="42" max="16384"/>
  </cols>
  <sheetData>
    <row r="1" ht="41.25" customHeight="1" s="532">
      <c r="B1" s="519" t="inlineStr">
        <is>
          <t>MOLIYAVIY REJA</t>
        </is>
      </c>
      <c r="D1" s="252" t="n"/>
      <c r="E1" s="252" t="n"/>
      <c r="F1" s="252" t="n"/>
      <c r="G1" s="308" t="inlineStr">
        <is>
          <t>2-ILOVA</t>
        </is>
      </c>
      <c r="H1" s="58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</row>
    <row r="2" ht="15.75" customHeight="1" s="532">
      <c r="B2" s="303" t="n"/>
      <c r="C2" s="303" t="n"/>
      <c r="D2" s="42" t="inlineStr">
        <is>
          <t xml:space="preserve">Milly valyuta, so'm </t>
        </is>
      </c>
      <c r="E2" s="42" t="inlineStr">
        <is>
          <t>Jami</t>
        </is>
      </c>
      <c r="F2" s="42" t="inlineStr">
        <is>
          <t>Struktura</t>
        </is>
      </c>
      <c r="G2" s="42" t="inlineStr">
        <is>
          <t>Foizda</t>
        </is>
      </c>
      <c r="H2" s="58" t="n"/>
      <c r="I2" s="4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</row>
    <row r="3" ht="15.75" customFormat="1" customHeight="1" s="15">
      <c r="B3" s="209" t="inlineStr">
        <is>
          <t>Kapital</t>
        </is>
      </c>
      <c r="C3" s="303" t="n"/>
      <c r="D3" s="304" t="n"/>
      <c r="E3" s="304" t="n"/>
      <c r="F3" s="304" t="n"/>
      <c r="G3" s="304" t="n"/>
      <c r="H3" s="58" t="n"/>
      <c r="I3" s="58" t="n"/>
      <c r="J3" s="58" t="n"/>
      <c r="K3" s="58" t="n"/>
      <c r="L3" s="58" t="n"/>
      <c r="M3" s="58" t="n"/>
      <c r="N3" s="58" t="n"/>
      <c r="O3" s="58" t="n"/>
      <c r="P3" s="58" t="n"/>
      <c r="Q3" s="58" t="n"/>
      <c r="R3" s="58" t="n"/>
      <c r="S3" s="58" t="n"/>
      <c r="T3" s="58" t="n"/>
      <c r="U3" s="58" t="n"/>
      <c r="V3" s="58" t="n"/>
      <c r="W3" s="58" t="n"/>
      <c r="X3" s="58" t="n"/>
      <c r="Y3" s="58" t="n"/>
      <c r="Z3" s="58" t="n"/>
      <c r="AA3" s="58" t="n"/>
      <c r="AB3" s="58" t="n"/>
      <c r="AC3" s="58" t="n"/>
      <c r="AD3" s="5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</row>
    <row r="4" ht="42" customHeight="1" s="532">
      <c r="B4" s="303" t="inlineStr">
        <is>
          <t>O'z mablag'lari</t>
        </is>
      </c>
      <c r="C4" s="303" t="n"/>
      <c r="D4" s="305">
        <f>'Share of Costs'!C14</f>
        <v/>
      </c>
      <c r="E4" s="234">
        <f>SUM(D4:D4)</f>
        <v/>
      </c>
      <c r="F4" s="235">
        <f>E4/E5</f>
        <v/>
      </c>
      <c r="G4" s="306" t="n"/>
      <c r="H4" s="58" t="n"/>
      <c r="I4" s="4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</row>
    <row r="5" ht="15.75" customHeight="1" s="532">
      <c r="B5" s="209" t="inlineStr">
        <is>
          <t>Jami kapital</t>
        </is>
      </c>
      <c r="C5" s="303" t="n"/>
      <c r="D5" s="234">
        <f>SUM(D3:D4)</f>
        <v/>
      </c>
      <c r="E5" s="234">
        <f>SUM(E4:E4)</f>
        <v/>
      </c>
      <c r="F5" s="235" t="n"/>
      <c r="G5" s="335">
        <f>E5/E10</f>
        <v/>
      </c>
      <c r="H5" s="69" t="n"/>
      <c r="I5" s="41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</row>
    <row r="6" ht="15.75" customHeight="1" s="532">
      <c r="B6" s="209" t="inlineStr">
        <is>
          <t>Qarzga olingan mablag'lar</t>
        </is>
      </c>
      <c r="C6" s="303" t="n"/>
      <c r="D6" s="307" t="n"/>
      <c r="E6" s="307" t="n"/>
      <c r="F6" s="235" t="n"/>
      <c r="G6" s="307" t="n"/>
      <c r="H6" s="43" t="n"/>
      <c r="I6" s="41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</row>
    <row r="7" ht="15.75" customHeight="1" s="532">
      <c r="B7" s="303" t="n"/>
      <c r="C7" s="303" t="n"/>
      <c r="D7" s="305">
        <f>ProjCost!E6</f>
        <v/>
      </c>
      <c r="E7" s="234">
        <f>D7</f>
        <v/>
      </c>
      <c r="F7" s="235" t="n"/>
      <c r="G7" s="235" t="n"/>
      <c r="H7" s="43" t="n"/>
      <c r="I7" s="41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</row>
    <row r="8" ht="15.75" customHeight="1" s="532">
      <c r="B8" s="209" t="inlineStr">
        <is>
          <t>Jami qarz mablag'lari</t>
        </is>
      </c>
      <c r="C8" s="303" t="n"/>
      <c r="D8" s="234">
        <f>SUM(D7:D7)</f>
        <v/>
      </c>
      <c r="E8" s="234">
        <f>SUM(E7:E7)</f>
        <v/>
      </c>
      <c r="F8" s="235" t="n"/>
      <c r="G8" s="336">
        <f>E8/E10</f>
        <v/>
      </c>
      <c r="H8" s="43" t="n"/>
      <c r="I8" s="41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</row>
    <row r="9" hidden="1" outlineLevel="1" ht="15.75" customHeight="1" s="532">
      <c r="B9" s="303" t="inlineStr">
        <is>
          <t>Jami moliyalashtirish</t>
        </is>
      </c>
      <c r="C9" s="303" t="n"/>
      <c r="D9" s="337" t="n"/>
      <c r="E9" s="337">
        <f>E10-ProjCost!F13</f>
        <v/>
      </c>
      <c r="F9" s="307" t="n"/>
      <c r="G9" s="307" t="n"/>
      <c r="H9" s="43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</row>
    <row r="10" collapsed="1" ht="15.75" customHeight="1" s="532">
      <c r="B10" s="209" t="inlineStr">
        <is>
          <t>Jami moliyalashtirish</t>
        </is>
      </c>
      <c r="C10" s="303" t="n"/>
      <c r="D10" s="234">
        <f>D5+D8</f>
        <v/>
      </c>
      <c r="E10" s="234">
        <f>E5+E8</f>
        <v/>
      </c>
      <c r="F10" s="307" t="n"/>
      <c r="G10" s="306">
        <f>G5+G8</f>
        <v/>
      </c>
      <c r="H10" s="43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 hidden="1" ht="11.25" customHeight="1" s="532" thickBot="1">
      <c r="B11" s="246" t="n"/>
      <c r="C11" s="246" t="n"/>
      <c r="D11" s="229" t="n"/>
      <c r="E11" s="236">
        <f>TODAY()</f>
        <v/>
      </c>
      <c r="F11" s="246" t="n"/>
      <c r="G11" s="246" t="n"/>
      <c r="H11" s="58" t="n"/>
      <c r="I11" s="40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</row>
    <row r="12" hidden="1" ht="409.5" customHeight="1" s="532">
      <c r="B12" s="237" t="n"/>
      <c r="C12" s="230" t="inlineStr">
        <is>
          <t>Финансирование  от Стройкомплектсервис</t>
        </is>
      </c>
      <c r="D12" s="45" t="inlineStr">
        <is>
          <t>в долл.США</t>
        </is>
      </c>
      <c r="E12" s="46" t="inlineStr">
        <is>
          <t>Всего</t>
        </is>
      </c>
      <c r="F12" s="246" t="n"/>
      <c r="G12" s="246" t="n"/>
      <c r="H12" s="58" t="n"/>
      <c r="I12" s="4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</row>
    <row r="13" hidden="1" ht="409.5" customHeight="1" s="532">
      <c r="B13" s="238" t="inlineStr">
        <is>
          <t>1.</t>
        </is>
      </c>
      <c r="C13" s="233" t="inlineStr">
        <is>
          <t>Строительство и реконстр. сущ. здания</t>
        </is>
      </c>
      <c r="D13" s="231" t="n">
        <v>0</v>
      </c>
      <c r="E13" s="239">
        <f>D13+#REF!</f>
        <v/>
      </c>
      <c r="F13" s="246" t="n"/>
      <c r="G13" s="246" t="n"/>
      <c r="H13" s="58" t="n"/>
      <c r="I13" s="4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</row>
    <row r="14" hidden="1" ht="189" customHeight="1" s="532">
      <c r="B14" s="238" t="inlineStr">
        <is>
          <t>2.</t>
        </is>
      </c>
      <c r="C14" s="233" t="inlineStr">
        <is>
          <t>Местное сырье</t>
        </is>
      </c>
      <c r="D14" s="232" t="n">
        <v>0</v>
      </c>
      <c r="E14" s="240">
        <f>D14+#REF!</f>
        <v/>
      </c>
      <c r="F14" s="246" t="n"/>
      <c r="G14" s="246" t="n"/>
      <c r="H14" s="53" t="n"/>
      <c r="I14" s="4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</row>
    <row r="15" hidden="1" ht="346.5" customHeight="1" s="532">
      <c r="B15" s="238" t="inlineStr">
        <is>
          <t>3.</t>
        </is>
      </c>
      <c r="C15" s="233" t="inlineStr">
        <is>
          <t>Резерв на рабочий капитал</t>
        </is>
      </c>
      <c r="D15" s="232" t="n">
        <v>0</v>
      </c>
      <c r="E15" s="240">
        <f>D15+#REF!</f>
        <v/>
      </c>
      <c r="F15" s="246" t="n"/>
      <c r="G15" s="246" t="n"/>
      <c r="H15" s="58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</row>
    <row r="16" hidden="1" ht="158.25" customHeight="1" s="532" thickBot="1">
      <c r="B16" s="241" t="n"/>
      <c r="C16" s="242" t="inlineStr">
        <is>
          <t>Всего от СКС</t>
        </is>
      </c>
      <c r="D16" s="243">
        <f>SUM(D13:D15)</f>
        <v/>
      </c>
      <c r="E16" s="244">
        <f>D16+#REF!</f>
        <v/>
      </c>
      <c r="F16" s="338" t="n"/>
      <c r="G16" s="246" t="n"/>
      <c r="H16" s="58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</row>
    <row r="17" hidden="1" ht="63" customHeight="1" s="532">
      <c r="B17" s="245" t="inlineStr">
        <is>
          <t>Разница   будет оплачена посредством предоставления кредита на сумму</t>
        </is>
      </c>
      <c r="C17" s="246" t="n"/>
      <c r="D17" s="247" t="n"/>
      <c r="E17" s="248">
        <f>#REF!</f>
        <v/>
      </c>
      <c r="F17" s="246" t="n"/>
      <c r="G17" s="246" t="n"/>
      <c r="H17" s="58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</row>
    <row r="18" hidden="1" ht="32.25" customHeight="1" s="532" thickBot="1">
      <c r="B18" s="249" t="inlineStr">
        <is>
          <t>сроком на 1-год с начала производства</t>
        </is>
      </c>
      <c r="C18" s="250" t="n"/>
      <c r="D18" s="229" t="n"/>
      <c r="E18" s="251" t="n"/>
      <c r="F18" s="246" t="n"/>
      <c r="G18" s="246" t="n"/>
      <c r="H18" s="58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</row>
    <row r="19" hidden="1" ht="11.25" customHeight="1" s="532" thickBot="1">
      <c r="B19" s="58" t="n"/>
      <c r="C19" s="70" t="n"/>
      <c r="D19" s="61" t="n"/>
      <c r="E19" s="61" t="n"/>
      <c r="F19" s="58" t="n"/>
      <c r="G19" s="58" t="n"/>
      <c r="H19" s="58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</row>
    <row r="20" hidden="1" ht="409.5" customHeight="1" s="532">
      <c r="B20" s="44" t="n"/>
      <c r="C20" s="62" t="inlineStr">
        <is>
          <t>Финансирование от АО "Подъемник"</t>
        </is>
      </c>
      <c r="D20" s="63" t="inlineStr">
        <is>
          <t>в твердой валюте</t>
        </is>
      </c>
      <c r="E20" s="46" t="inlineStr">
        <is>
          <t>Всего</t>
        </is>
      </c>
      <c r="F20" s="58" t="n"/>
      <c r="G20" s="58" t="n"/>
      <c r="H20" s="58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</row>
    <row r="21" hidden="1" ht="409.5" customHeight="1" s="532">
      <c r="B21" s="47" t="inlineStr">
        <is>
          <t>1.</t>
        </is>
      </c>
      <c r="C21" s="48" t="inlineStr">
        <is>
          <t>Здания и сооружения и инфраструктура к ним</t>
        </is>
      </c>
      <c r="D21" s="64" t="n">
        <v>0</v>
      </c>
      <c r="E21" s="65">
        <f>SUM(D21:D21)</f>
        <v/>
      </c>
      <c r="F21" s="58" t="n"/>
      <c r="G21" s="58" t="n"/>
      <c r="H21" s="58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</row>
    <row r="22" hidden="1" ht="15.75" customHeight="1" s="532">
      <c r="B22" s="66" t="n"/>
      <c r="C22" s="67" t="inlineStr">
        <is>
          <t>Всего от Подъемник</t>
        </is>
      </c>
      <c r="D22" s="68">
        <f>SUM(D21:D21)</f>
        <v/>
      </c>
      <c r="E22" s="57">
        <f>SUM(E21:E21)</f>
        <v/>
      </c>
      <c r="F22" s="69" t="n"/>
      <c r="G22" s="58" t="n"/>
      <c r="H22" s="58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</row>
    <row r="23" hidden="1" ht="15.75" customHeight="1" s="532">
      <c r="B23" s="58" t="n"/>
      <c r="C23" s="70" t="n"/>
      <c r="D23" s="71" t="n"/>
      <c r="E23" s="72" t="n"/>
      <c r="F23" s="69" t="n"/>
      <c r="G23" s="58" t="n"/>
      <c r="H23" s="58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</row>
    <row r="24" hidden="1" ht="15.75" customHeight="1" s="532">
      <c r="B24" s="58" t="n"/>
      <c r="C24" s="70" t="n"/>
      <c r="D24" s="71" t="n"/>
      <c r="E24" s="72" t="n"/>
      <c r="F24" s="69" t="n"/>
      <c r="G24" s="58" t="n"/>
      <c r="H24" s="58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</row>
    <row r="25" hidden="1" ht="15.75" customHeight="1" s="532">
      <c r="B25" s="44" t="n"/>
      <c r="C25" s="73" t="inlineStr">
        <is>
          <t>Финансирвание от МФК</t>
        </is>
      </c>
      <c r="D25" s="74" t="inlineStr">
        <is>
          <t>в твердой валюте</t>
        </is>
      </c>
      <c r="E25" s="75" t="inlineStr">
        <is>
          <t>Всего</t>
        </is>
      </c>
      <c r="F25" s="69" t="n"/>
      <c r="G25" s="58" t="n"/>
      <c r="H25" s="58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</row>
    <row r="26" hidden="1" ht="15.75" customHeight="1" s="532">
      <c r="B26" s="76" t="inlineStr">
        <is>
          <t>1.</t>
        </is>
      </c>
      <c r="C26" s="77" t="inlineStr">
        <is>
          <t>Машины и оборудования</t>
        </is>
      </c>
      <c r="D26" s="339">
        <f>ProjCost!#REF!</f>
        <v/>
      </c>
      <c r="E26" s="78">
        <f>D26+#REF!</f>
        <v/>
      </c>
      <c r="F26" s="69" t="n"/>
      <c r="G26" s="58" t="n"/>
      <c r="H26" s="58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</row>
    <row r="27" hidden="1" ht="15.75" customHeight="1" s="532">
      <c r="B27" s="76" t="inlineStr">
        <is>
          <t>2.</t>
        </is>
      </c>
      <c r="C27" s="77" t="inlineStr">
        <is>
          <t>Транспорт и страхование</t>
        </is>
      </c>
      <c r="D27" s="340">
        <f>ProjCost!#REF!</f>
        <v/>
      </c>
      <c r="E27" s="79">
        <f>D27+#REF!</f>
        <v/>
      </c>
      <c r="F27" s="69" t="n"/>
      <c r="G27" s="58" t="n"/>
      <c r="H27" s="58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</row>
    <row r="28" hidden="1" ht="15.75" customHeight="1" s="532">
      <c r="B28" s="76" t="inlineStr">
        <is>
          <t>3.</t>
        </is>
      </c>
      <c r="C28" s="77" t="inlineStr">
        <is>
          <t>Монтаж и запуск</t>
        </is>
      </c>
      <c r="D28" s="340">
        <f>ProjCost!#REF!</f>
        <v/>
      </c>
      <c r="E28" s="79">
        <f>D28+#REF!</f>
        <v/>
      </c>
      <c r="F28" s="69" t="n"/>
      <c r="G28" s="58" t="n"/>
      <c r="H28" s="58" t="n"/>
      <c r="I28" s="40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</row>
    <row r="29" hidden="1" ht="15.75" customHeight="1" s="532">
      <c r="B29" s="76" t="inlineStr">
        <is>
          <t>4.</t>
        </is>
      </c>
      <c r="C29" s="77" t="inlineStr">
        <is>
          <t>Грузовая машина</t>
        </is>
      </c>
      <c r="D29" s="340">
        <f>ProjCost!#REF!</f>
        <v/>
      </c>
      <c r="E29" s="79">
        <f>D29+#REF!</f>
        <v/>
      </c>
      <c r="F29" s="69" t="n"/>
      <c r="G29" s="58" t="n"/>
      <c r="H29" s="58" t="n"/>
      <c r="I29" s="40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</row>
    <row r="30" hidden="1" ht="15.75" customHeight="1" s="532">
      <c r="B30" s="76" t="inlineStr">
        <is>
          <t>5.</t>
        </is>
      </c>
      <c r="C30" s="77" t="inlineStr">
        <is>
          <t>Охранная видео система</t>
        </is>
      </c>
      <c r="D30" s="340">
        <f>ProjCost!#REF!</f>
        <v/>
      </c>
      <c r="E30" s="79">
        <f>D30+#REF!</f>
        <v/>
      </c>
      <c r="F30" s="69" t="n"/>
      <c r="G30" s="58" t="n"/>
      <c r="H30" s="58" t="n"/>
      <c r="I30" s="40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</row>
    <row r="31" hidden="1" ht="15.75" customHeight="1" s="532">
      <c r="B31" s="76" t="inlineStr">
        <is>
          <t>6.</t>
        </is>
      </c>
      <c r="C31" s="77" t="inlineStr">
        <is>
          <t>Накладные расходы</t>
        </is>
      </c>
      <c r="D31" s="340">
        <f>ProjCost!#REF!</f>
        <v/>
      </c>
      <c r="E31" s="79">
        <f>D31+#REF!</f>
        <v/>
      </c>
      <c r="F31" s="69" t="n"/>
      <c r="G31" s="58" t="n"/>
      <c r="H31" s="58" t="n"/>
      <c r="I31" s="40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</row>
    <row r="32" hidden="1" ht="15.75" customHeight="1" s="532">
      <c r="B32" s="76" t="inlineStr">
        <is>
          <t>7.</t>
        </is>
      </c>
      <c r="C32" s="77" t="inlineStr">
        <is>
          <t>Вспомогательные материалы</t>
        </is>
      </c>
      <c r="D32" s="340">
        <f>ProjCost!#REF!</f>
        <v/>
      </c>
      <c r="E32" s="79">
        <f>D32+#REF!</f>
        <v/>
      </c>
      <c r="F32" s="69" t="n"/>
      <c r="G32" s="58" t="n"/>
      <c r="H32" s="58" t="n"/>
      <c r="I32" s="4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</row>
    <row r="33" hidden="1" ht="15.75" customHeight="1" s="532">
      <c r="B33" s="76" t="inlineStr">
        <is>
          <t>8.</t>
        </is>
      </c>
      <c r="C33" s="77" t="inlineStr">
        <is>
          <t>Запасные части</t>
        </is>
      </c>
      <c r="D33" s="340">
        <f>ProjCost!#REF!</f>
        <v/>
      </c>
      <c r="E33" s="79">
        <f>D33+#REF!</f>
        <v/>
      </c>
      <c r="F33" s="69" t="n"/>
      <c r="G33" s="58" t="n"/>
      <c r="H33" s="58" t="n"/>
      <c r="I33" s="4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</row>
    <row r="34" hidden="1" ht="15.75" customHeight="1" s="532">
      <c r="B34" s="76" t="inlineStr">
        <is>
          <t>9.</t>
        </is>
      </c>
      <c r="C34" s="77" t="inlineStr">
        <is>
          <t>Финансовые расходы</t>
        </is>
      </c>
      <c r="D34" s="340">
        <f>ProjCost!#REF!+ProjCost!#REF!+ProjCost!#REF!+ProjCost!#REF!</f>
        <v/>
      </c>
      <c r="E34" s="79">
        <f>D34+#REF!</f>
        <v/>
      </c>
      <c r="F34" s="69" t="n"/>
      <c r="G34" s="58" t="n"/>
      <c r="H34" s="58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</row>
    <row r="35" hidden="1" ht="15.75" customHeight="1" s="532">
      <c r="B35" s="80" t="inlineStr">
        <is>
          <t>10.</t>
        </is>
      </c>
      <c r="C35" s="81" t="inlineStr">
        <is>
          <t>Резерв</t>
        </is>
      </c>
      <c r="D35" s="341">
        <f>ProjCost!#REF!</f>
        <v/>
      </c>
      <c r="E35" s="82">
        <f>D35+#REF!</f>
        <v/>
      </c>
      <c r="F35" s="69" t="n"/>
      <c r="G35" s="58" t="n"/>
      <c r="H35" s="58" t="n"/>
      <c r="I35" s="40" t="n"/>
      <c r="J35" s="40" t="n"/>
    </row>
    <row r="36" hidden="1" ht="16.5" customHeight="1" s="532" thickBot="1">
      <c r="B36" s="54" t="n"/>
      <c r="C36" s="55" t="inlineStr">
        <is>
          <t>Всего от МФК</t>
        </is>
      </c>
      <c r="D36" s="342">
        <f>SUM(D26:D35)</f>
        <v/>
      </c>
      <c r="E36" s="57">
        <f>D36+#REF!</f>
        <v/>
      </c>
      <c r="F36" s="69" t="n"/>
      <c r="G36" s="58" t="n"/>
      <c r="H36" s="58" t="n"/>
      <c r="I36" s="40" t="n"/>
      <c r="J36" s="40" t="n"/>
    </row>
    <row r="37" hidden="1" ht="15.75" customHeight="1" s="532">
      <c r="B37" s="58" t="n"/>
      <c r="C37" s="70" t="n"/>
      <c r="D37" s="71" t="n"/>
      <c r="E37" s="72" t="n"/>
      <c r="F37" s="69" t="n"/>
      <c r="G37" s="58" t="n"/>
      <c r="H37" s="58" t="n"/>
      <c r="I37" s="40" t="n"/>
      <c r="J37" s="40" t="n"/>
    </row>
    <row r="38" hidden="1" ht="409.5" customHeight="1" s="532">
      <c r="B38" s="83" t="n"/>
      <c r="C38" s="84" t="inlineStr">
        <is>
          <t>Финансирование от Банка "Асака" (по кредитной линии МФК/Асака)</t>
        </is>
      </c>
      <c r="D38" s="74" t="inlineStr">
        <is>
          <t>в твердой валюте</t>
        </is>
      </c>
      <c r="E38" s="85" t="inlineStr">
        <is>
          <t>Всего</t>
        </is>
      </c>
      <c r="F38" s="69" t="n"/>
      <c r="G38" s="58" t="n"/>
      <c r="H38" s="58" t="n"/>
      <c r="I38" s="40" t="n"/>
      <c r="J38" s="40" t="n"/>
    </row>
    <row r="39" hidden="1" ht="15.75" customHeight="1" s="532">
      <c r="B39" s="76" t="inlineStr">
        <is>
          <t>1.</t>
        </is>
      </c>
      <c r="C39" s="86" t="inlineStr">
        <is>
          <t>Машины и оборудования</t>
        </is>
      </c>
      <c r="D39" s="87">
        <f>ProjCost!#REF!</f>
        <v/>
      </c>
      <c r="E39" s="57">
        <f>D39+#REF!</f>
        <v/>
      </c>
      <c r="F39" s="69" t="n"/>
      <c r="G39" s="58" t="n"/>
      <c r="H39" s="58" t="n"/>
      <c r="I39" s="40" t="n"/>
      <c r="J39" s="40" t="n"/>
    </row>
    <row r="40" hidden="1" ht="16.5" customHeight="1" s="532" thickBot="1">
      <c r="B40" s="59" t="n"/>
      <c r="C40" s="60" t="inlineStr">
        <is>
          <t>Всего от Банка "Асака"</t>
        </is>
      </c>
      <c r="D40" s="56">
        <f>D39</f>
        <v/>
      </c>
      <c r="E40" s="88">
        <f>D40+#REF!</f>
        <v/>
      </c>
      <c r="F40" s="69" t="n"/>
      <c r="G40" s="58" t="n"/>
      <c r="H40" s="58" t="n"/>
      <c r="I40" s="40" t="n"/>
      <c r="J40" s="40" t="n"/>
    </row>
    <row r="41" hidden="1" ht="15.75" customHeight="1" s="532">
      <c r="B41" s="58" t="n"/>
      <c r="C41" s="70" t="n"/>
      <c r="D41" s="71" t="n"/>
      <c r="E41" s="72" t="n"/>
      <c r="F41" s="69" t="n"/>
      <c r="G41" s="58" t="n"/>
      <c r="H41" s="58" t="n"/>
      <c r="I41" s="40" t="n"/>
      <c r="J41" s="40" t="n"/>
    </row>
    <row r="42" hidden="1" ht="252" customHeight="1" s="532">
      <c r="B42" s="44" t="n"/>
      <c r="C42" s="62" t="inlineStr">
        <is>
          <t>Недостающая сумма</t>
        </is>
      </c>
      <c r="D42" s="63" t="inlineStr">
        <is>
          <t>в твердой валюте</t>
        </is>
      </c>
      <c r="E42" s="45" t="inlineStr">
        <is>
          <t>Всего</t>
        </is>
      </c>
      <c r="F42" s="58" t="n"/>
      <c r="G42" s="58" t="n"/>
      <c r="H42" s="58" t="n"/>
      <c r="I42" s="40" t="n"/>
      <c r="J42" s="40" t="n"/>
    </row>
    <row r="43" hidden="1" ht="299.25" customHeight="1" s="532">
      <c r="B43" s="47" t="inlineStr">
        <is>
          <t>1.</t>
        </is>
      </c>
      <c r="C43" s="48" t="inlineStr">
        <is>
          <t>Проценты в инв. Период</t>
        </is>
      </c>
      <c r="D43" s="49">
        <f>ProjCost!#REF!</f>
        <v/>
      </c>
      <c r="E43" s="50">
        <f>SUM(D43:D43)</f>
        <v/>
      </c>
      <c r="F43" s="58" t="n"/>
      <c r="G43" s="58" t="n"/>
      <c r="H43" s="58" t="n"/>
      <c r="I43" s="40" t="n"/>
      <c r="J43" s="40" t="n"/>
    </row>
    <row r="44" hidden="1" ht="267.75" customHeight="1" s="532">
      <c r="B44" s="47" t="inlineStr">
        <is>
          <t>2.</t>
        </is>
      </c>
      <c r="C44" s="48" t="inlineStr">
        <is>
          <t xml:space="preserve">Страхование залога </t>
        </is>
      </c>
      <c r="D44" s="51" t="n">
        <v>0</v>
      </c>
      <c r="E44" s="52">
        <f>SUM(D44:D44)</f>
        <v/>
      </c>
      <c r="F44" s="58" t="n"/>
      <c r="G44" s="58" t="n"/>
      <c r="H44" s="58" t="n"/>
      <c r="I44" s="40" t="n"/>
      <c r="J44" s="40" t="n"/>
    </row>
    <row r="45" hidden="1" ht="252" customHeight="1" s="532">
      <c r="B45" s="47" t="inlineStr">
        <is>
          <t>3.</t>
        </is>
      </c>
      <c r="C45" s="48" t="inlineStr">
        <is>
          <t>оформление залога</t>
        </is>
      </c>
      <c r="D45" s="51" t="n">
        <v>0</v>
      </c>
      <c r="E45" s="52">
        <f>SUM(D45:D45)</f>
        <v/>
      </c>
      <c r="F45" s="58" t="n"/>
      <c r="G45" s="58" t="n"/>
      <c r="H45" s="58" t="n"/>
      <c r="I45" s="40" t="n"/>
      <c r="J45" s="40" t="n"/>
    </row>
    <row r="46" hidden="1" ht="299.25" customHeight="1" s="532">
      <c r="B46" s="47" t="inlineStr">
        <is>
          <t>4.</t>
        </is>
      </c>
      <c r="C46" s="48" t="inlineStr">
        <is>
          <t>открытие аккредитива</t>
        </is>
      </c>
      <c r="D46" s="51" t="n">
        <v>0</v>
      </c>
      <c r="E46" s="52">
        <f>SUM(D46:D46)</f>
        <v/>
      </c>
      <c r="F46" s="58" t="n"/>
      <c r="G46" s="58" t="n"/>
      <c r="H46" s="58" t="n"/>
      <c r="I46" s="40" t="n"/>
      <c r="J46" s="40" t="n"/>
    </row>
    <row r="47" hidden="1" ht="299.25" customHeight="1" s="532">
      <c r="B47" s="47" t="inlineStr">
        <is>
          <t>5.</t>
        </is>
      </c>
      <c r="C47" s="48" t="inlineStr">
        <is>
          <t>одноразовая комиссия</t>
        </is>
      </c>
      <c r="D47" s="51">
        <f>ProjCost!#REF!</f>
        <v/>
      </c>
      <c r="E47" s="52">
        <f>SUM(D47:D47)</f>
        <v/>
      </c>
      <c r="F47" s="58" t="n"/>
      <c r="G47" s="58" t="n"/>
      <c r="H47" s="58" t="n"/>
      <c r="I47" s="40" t="n"/>
      <c r="J47" s="40" t="n"/>
    </row>
    <row r="48" hidden="1" ht="283.5" customHeight="1" s="532">
      <c r="B48" s="47" t="inlineStr">
        <is>
          <t>6.</t>
        </is>
      </c>
      <c r="C48" s="48" t="inlineStr">
        <is>
          <t>Юридические расходы</t>
        </is>
      </c>
      <c r="D48" s="89">
        <f>ProjCost!#REF!</f>
        <v/>
      </c>
      <c r="E48" s="90">
        <f>SUM(D48:D48)</f>
        <v/>
      </c>
      <c r="F48" s="58" t="n"/>
      <c r="G48" s="58" t="n"/>
      <c r="H48" s="58" t="n"/>
      <c r="I48" s="40" t="n"/>
      <c r="J48" s="40" t="n"/>
    </row>
    <row r="49" hidden="1" ht="16.5" customHeight="1" s="532" thickBot="1">
      <c r="B49" s="91" t="n"/>
      <c r="C49" s="92" t="inlineStr">
        <is>
          <t>Всего недостающая сумма</t>
        </is>
      </c>
      <c r="D49" s="56">
        <f>SUM(D43:D48)</f>
        <v/>
      </c>
      <c r="E49" s="88">
        <f>SUM(D49:D49)</f>
        <v/>
      </c>
      <c r="F49" s="58" t="n"/>
      <c r="G49" s="58" t="n"/>
      <c r="H49" s="58" t="n"/>
      <c r="I49" s="40" t="n"/>
      <c r="J49" s="40" t="n"/>
    </row>
    <row r="50" ht="15.75" customHeight="1" s="532">
      <c r="B50" s="58" t="n"/>
      <c r="C50" s="58" t="n"/>
      <c r="D50" s="58" t="n"/>
      <c r="E50" s="58" t="n"/>
      <c r="F50" s="343" t="n"/>
      <c r="G50" s="58" t="n"/>
      <c r="H50" s="58" t="n"/>
      <c r="I50" s="40" t="n"/>
      <c r="J50" s="40" t="n"/>
    </row>
    <row r="51" ht="15.75" customHeight="1" s="532">
      <c r="B51" s="58" t="n"/>
      <c r="C51" s="58" t="n"/>
      <c r="D51" s="58" t="n"/>
      <c r="E51" s="58" t="n"/>
      <c r="F51" s="343" t="n"/>
      <c r="G51" s="58" t="n"/>
      <c r="H51" s="58" t="n"/>
      <c r="I51" s="40" t="n"/>
      <c r="J51" s="40" t="n"/>
    </row>
    <row r="52"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</row>
    <row r="53"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</row>
    <row r="54"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</row>
    <row r="55"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</row>
    <row r="56"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</row>
    <row r="57"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</row>
    <row r="58"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</row>
    <row r="59"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</row>
    <row r="60"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</row>
    <row r="61"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</row>
    <row r="62"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</row>
    <row r="63"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</row>
    <row r="64"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</row>
    <row r="65"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</row>
    <row r="66"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</row>
    <row r="67"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</row>
    <row r="68"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</row>
    <row r="69"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</row>
    <row r="70"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</row>
    <row r="71"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</row>
    <row r="72"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</row>
  </sheetData>
  <mergeCells count="1">
    <mergeCell ref="B1:C1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4.xml><?xml version="1.0" encoding="utf-8"?>
<worksheet xmlns="http://schemas.openxmlformats.org/spreadsheetml/2006/main">
  <sheetPr codeName="Лист4">
    <outlinePr summaryBelow="1" summaryRight="1"/>
    <pageSetUpPr fitToPage="1"/>
  </sheetPr>
  <dimension ref="A1:IV22"/>
  <sheetViews>
    <sheetView showGridLines="0" view="pageBreakPreview" zoomScale="75" zoomScaleNormal="75" zoomScaleSheetLayoutView="75" workbookViewId="0">
      <selection activeCell="F14" sqref="F14"/>
    </sheetView>
  </sheetViews>
  <sheetFormatPr baseColWidth="8" defaultRowHeight="15.75"/>
  <cols>
    <col width="46.375" customWidth="1" style="532" min="2" max="2"/>
    <col width="18.125" customWidth="1" style="532" min="3" max="3"/>
    <col hidden="1" width="11.875" customWidth="1" style="532" min="4" max="4"/>
    <col width="0.125" customWidth="1" style="532" min="5" max="5"/>
    <col width="18.625" customWidth="1" style="532" min="6" max="6"/>
    <col width="22.5" customWidth="1" style="532" min="7" max="7"/>
    <col width="16" customWidth="1" style="532" min="9" max="9"/>
  </cols>
  <sheetData>
    <row r="1">
      <c r="A1" s="344" t="n"/>
      <c r="B1" s="344" t="n"/>
      <c r="C1" s="344" t="n"/>
      <c r="D1" s="344" t="n"/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44" t="n"/>
      <c r="AB1" s="344" t="n"/>
      <c r="AC1" s="344" t="n"/>
      <c r="AD1" s="344" t="n"/>
      <c r="AE1" s="344" t="n"/>
      <c r="AF1" s="344" t="n"/>
      <c r="AG1" s="344" t="n"/>
      <c r="AH1" s="344" t="n"/>
      <c r="AI1" s="344" t="n"/>
      <c r="AJ1" s="344" t="n"/>
      <c r="AK1" s="344" t="n"/>
      <c r="AL1" s="344" t="n"/>
      <c r="AM1" s="344" t="n"/>
      <c r="AN1" s="344" t="n"/>
      <c r="AO1" s="344" t="n"/>
      <c r="AP1" s="344" t="n"/>
      <c r="AQ1" s="344" t="n"/>
      <c r="AR1" s="344" t="n"/>
      <c r="AS1" s="344" t="n"/>
      <c r="AT1" s="344" t="n"/>
      <c r="AU1" s="344" t="n"/>
      <c r="AV1" s="344" t="n"/>
      <c r="AW1" s="344" t="n"/>
      <c r="AX1" s="344" t="n"/>
      <c r="AY1" s="344" t="n"/>
      <c r="AZ1" s="344" t="n"/>
      <c r="BA1" s="344" t="n"/>
      <c r="BB1" s="344" t="n"/>
      <c r="BC1" s="344" t="n"/>
      <c r="BD1" s="344" t="n"/>
      <c r="BE1" s="344" t="n"/>
      <c r="BF1" s="344" t="n"/>
      <c r="BG1" s="344" t="n"/>
      <c r="BH1" s="344" t="n"/>
      <c r="BI1" s="344" t="n"/>
      <c r="BJ1" s="344" t="n"/>
      <c r="BK1" s="344" t="n"/>
      <c r="BL1" s="344" t="n"/>
      <c r="BM1" s="344" t="n"/>
      <c r="BN1" s="344" t="n"/>
      <c r="BO1" s="344" t="n"/>
      <c r="BP1" s="344" t="n"/>
      <c r="BQ1" s="344" t="n"/>
      <c r="BR1" s="344" t="n"/>
      <c r="BS1" s="344" t="n"/>
      <c r="BT1" s="344" t="n"/>
      <c r="BU1" s="344" t="n"/>
      <c r="BV1" s="344" t="n"/>
      <c r="BW1" s="344" t="n"/>
      <c r="BX1" s="344" t="n"/>
      <c r="BY1" s="344" t="n"/>
      <c r="BZ1" s="344" t="n"/>
      <c r="CA1" s="344" t="n"/>
      <c r="CB1" s="344" t="n"/>
      <c r="CC1" s="344" t="n"/>
      <c r="CD1" s="344" t="n"/>
      <c r="CE1" s="344" t="n"/>
      <c r="CF1" s="344" t="n"/>
      <c r="CG1" s="344" t="n"/>
      <c r="CH1" s="344" t="n"/>
      <c r="CI1" s="344" t="n"/>
      <c r="CJ1" s="344" t="n"/>
      <c r="CK1" s="344" t="n"/>
      <c r="CL1" s="344" t="n"/>
      <c r="CM1" s="344" t="n"/>
      <c r="CN1" s="344" t="n"/>
      <c r="CO1" s="344" t="n"/>
      <c r="CP1" s="344" t="n"/>
      <c r="CQ1" s="344" t="n"/>
      <c r="CR1" s="344" t="n"/>
      <c r="CS1" s="344" t="n"/>
      <c r="CT1" s="344" t="n"/>
      <c r="CU1" s="344" t="n"/>
      <c r="CV1" s="344" t="n"/>
      <c r="CW1" s="344" t="n"/>
      <c r="CX1" s="344" t="n"/>
      <c r="CY1" s="344" t="n"/>
      <c r="CZ1" s="344" t="n"/>
      <c r="DA1" s="344" t="n"/>
      <c r="DB1" s="344" t="n"/>
      <c r="DC1" s="344" t="n"/>
      <c r="DD1" s="344" t="n"/>
      <c r="DE1" s="344" t="n"/>
      <c r="DF1" s="344" t="n"/>
      <c r="DG1" s="344" t="n"/>
      <c r="DH1" s="344" t="n"/>
      <c r="DI1" s="344" t="n"/>
      <c r="DJ1" s="344" t="n"/>
      <c r="DK1" s="344" t="n"/>
      <c r="DL1" s="344" t="n"/>
      <c r="DM1" s="344" t="n"/>
      <c r="DN1" s="344" t="n"/>
      <c r="DO1" s="344" t="n"/>
      <c r="DP1" s="344" t="n"/>
      <c r="DQ1" s="344" t="n"/>
      <c r="DR1" s="344" t="n"/>
      <c r="DS1" s="344" t="n"/>
      <c r="DT1" s="344" t="n"/>
      <c r="DU1" s="344" t="n"/>
      <c r="DV1" s="344" t="n"/>
      <c r="DW1" s="344" t="n"/>
      <c r="DX1" s="344" t="n"/>
      <c r="DY1" s="344" t="n"/>
      <c r="DZ1" s="344" t="n"/>
      <c r="EA1" s="344" t="n"/>
      <c r="EB1" s="344" t="n"/>
      <c r="EC1" s="344" t="n"/>
      <c r="ED1" s="344" t="n"/>
      <c r="EE1" s="344" t="n"/>
      <c r="EF1" s="344" t="n"/>
      <c r="EG1" s="344" t="n"/>
      <c r="EH1" s="344" t="n"/>
      <c r="EI1" s="344" t="n"/>
      <c r="EJ1" s="344" t="n"/>
      <c r="EK1" s="344" t="n"/>
      <c r="EL1" s="344" t="n"/>
      <c r="EM1" s="344" t="n"/>
      <c r="EN1" s="344" t="n"/>
      <c r="EO1" s="344" t="n"/>
      <c r="EP1" s="344" t="n"/>
      <c r="EQ1" s="344" t="n"/>
      <c r="ER1" s="344" t="n"/>
      <c r="ES1" s="344" t="n"/>
      <c r="ET1" s="344" t="n"/>
      <c r="EU1" s="344" t="n"/>
      <c r="EV1" s="344" t="n"/>
      <c r="EW1" s="344" t="n"/>
      <c r="EX1" s="344" t="n"/>
      <c r="EY1" s="344" t="n"/>
      <c r="EZ1" s="344" t="n"/>
      <c r="FA1" s="344" t="n"/>
      <c r="FB1" s="344" t="n"/>
      <c r="FC1" s="344" t="n"/>
      <c r="FD1" s="344" t="n"/>
      <c r="FE1" s="344" t="n"/>
      <c r="FF1" s="344" t="n"/>
      <c r="FG1" s="344" t="n"/>
      <c r="FH1" s="344" t="n"/>
      <c r="FI1" s="344" t="n"/>
      <c r="FJ1" s="344" t="n"/>
      <c r="FK1" s="344" t="n"/>
      <c r="FL1" s="344" t="n"/>
      <c r="FM1" s="344" t="n"/>
      <c r="FN1" s="344" t="n"/>
      <c r="FO1" s="344" t="n"/>
      <c r="FP1" s="344" t="n"/>
      <c r="FQ1" s="344" t="n"/>
      <c r="FR1" s="344" t="n"/>
      <c r="FS1" s="344" t="n"/>
      <c r="FT1" s="344" t="n"/>
      <c r="FU1" s="344" t="n"/>
      <c r="FV1" s="344" t="n"/>
      <c r="FW1" s="344" t="n"/>
      <c r="FX1" s="344" t="n"/>
      <c r="FY1" s="344" t="n"/>
      <c r="FZ1" s="344" t="n"/>
      <c r="GA1" s="344" t="n"/>
      <c r="GB1" s="344" t="n"/>
      <c r="GC1" s="344" t="n"/>
      <c r="GD1" s="344" t="n"/>
      <c r="GE1" s="344" t="n"/>
      <c r="GF1" s="344" t="n"/>
      <c r="GG1" s="344" t="n"/>
      <c r="GH1" s="344" t="n"/>
      <c r="GI1" s="344" t="n"/>
      <c r="GJ1" s="344" t="n"/>
      <c r="GK1" s="344" t="n"/>
      <c r="GL1" s="344" t="n"/>
      <c r="GM1" s="344" t="n"/>
      <c r="GN1" s="344" t="n"/>
      <c r="GO1" s="344" t="n"/>
      <c r="GP1" s="344" t="n"/>
      <c r="GQ1" s="344" t="n"/>
      <c r="GR1" s="344" t="n"/>
      <c r="GS1" s="344" t="n"/>
      <c r="GT1" s="344" t="n"/>
      <c r="GU1" s="344" t="n"/>
      <c r="GV1" s="344" t="n"/>
      <c r="GW1" s="344" t="n"/>
      <c r="GX1" s="344" t="n"/>
      <c r="GY1" s="344" t="n"/>
      <c r="GZ1" s="344" t="n"/>
      <c r="HA1" s="344" t="n"/>
      <c r="HB1" s="344" t="n"/>
      <c r="HC1" s="344" t="n"/>
      <c r="HD1" s="344" t="n"/>
      <c r="HE1" s="344" t="n"/>
      <c r="HF1" s="344" t="n"/>
      <c r="HG1" s="344" t="n"/>
      <c r="HH1" s="344" t="n"/>
      <c r="HI1" s="344" t="n"/>
      <c r="HJ1" s="344" t="n"/>
      <c r="HK1" s="344" t="n"/>
      <c r="HL1" s="344" t="n"/>
      <c r="HM1" s="344" t="n"/>
      <c r="HN1" s="344" t="n"/>
      <c r="HO1" s="344" t="n"/>
      <c r="HP1" s="344" t="n"/>
      <c r="HQ1" s="344" t="n"/>
      <c r="HR1" s="344" t="n"/>
      <c r="HS1" s="344" t="n"/>
      <c r="HT1" s="344" t="n"/>
      <c r="HU1" s="344" t="n"/>
      <c r="HV1" s="344" t="n"/>
      <c r="HW1" s="344" t="n"/>
      <c r="HX1" s="344" t="n"/>
      <c r="HY1" s="344" t="n"/>
      <c r="HZ1" s="344" t="n"/>
      <c r="IA1" s="344" t="n"/>
      <c r="IB1" s="344" t="n"/>
      <c r="IC1" s="344" t="n"/>
      <c r="ID1" s="344" t="n"/>
      <c r="IE1" s="344" t="n"/>
      <c r="IF1" s="344" t="n"/>
      <c r="IG1" s="344" t="n"/>
      <c r="IH1" s="344" t="n"/>
      <c r="II1" s="344" t="n"/>
      <c r="IJ1" s="344" t="n"/>
      <c r="IK1" s="344" t="n"/>
      <c r="IL1" s="344" t="n"/>
      <c r="IM1" s="344" t="n"/>
      <c r="IN1" s="344" t="n"/>
      <c r="IO1" s="344" t="n"/>
      <c r="IP1" s="344" t="n"/>
      <c r="IQ1" s="344" t="n"/>
      <c r="IR1" s="344" t="n"/>
      <c r="IS1" s="344" t="n"/>
      <c r="IT1" s="344" t="n"/>
      <c r="IU1" s="344" t="n"/>
      <c r="IV1" s="344" t="n"/>
    </row>
    <row r="2" ht="26.25" customFormat="1" customHeight="1" s="39">
      <c r="B2" s="113" t="inlineStr">
        <is>
          <t>LOYIHA ISHTIROKCHILARI XARAJATLARINING ulushi</t>
        </is>
      </c>
      <c r="C2" s="37" t="n"/>
      <c r="D2" s="37" t="n"/>
      <c r="E2" s="38" t="n"/>
      <c r="F2" s="38" t="n"/>
      <c r="G2" s="38" t="inlineStr">
        <is>
          <t>3-ILOVA</t>
        </is>
      </c>
      <c r="H2" s="345" t="n"/>
    </row>
    <row r="3" ht="57.6" customFormat="1" customHeight="1" s="39">
      <c r="B3" s="254" t="inlineStr">
        <is>
          <t>Ko'rsatkichlar</t>
        </is>
      </c>
      <c r="C3" s="255" t="inlineStr">
        <is>
          <t>O'z mablag'lari</t>
        </is>
      </c>
      <c r="D3" s="255" t="inlineStr">
        <is>
          <t>Milliy valyutada, so'm</t>
        </is>
      </c>
      <c r="E3" s="255" t="inlineStr">
        <is>
          <t>Jami, summa</t>
        </is>
      </c>
      <c r="F3" s="255">
        <f>ProjCost!E3</f>
        <v/>
      </c>
      <c r="G3" s="255" t="inlineStr">
        <is>
          <t>Jami, summa</t>
        </is>
      </c>
      <c r="H3" s="345" t="n"/>
    </row>
    <row r="4" ht="36.75" customFormat="1" customHeight="1" s="39">
      <c r="B4" s="253">
        <f>ProjCost!B4</f>
        <v/>
      </c>
      <c r="C4" s="463" t="n">
        <v>0</v>
      </c>
      <c r="D4" s="219" t="n"/>
      <c r="E4" s="219" t="n">
        <v>0</v>
      </c>
      <c r="F4" s="463">
        <f>ProjCost!E4</f>
        <v/>
      </c>
      <c r="G4" s="219">
        <f>F4</f>
        <v/>
      </c>
      <c r="H4" s="345" t="n"/>
      <c r="I4" s="156" t="n"/>
    </row>
    <row r="5" ht="24.75" customFormat="1" customHeight="1" s="39">
      <c r="B5" s="218" t="inlineStr">
        <is>
          <t>Asosiy vositalar</t>
        </is>
      </c>
      <c r="C5" s="463">
        <f>ProjCost!D5</f>
        <v/>
      </c>
      <c r="D5" s="219" t="n"/>
      <c r="E5" s="219" t="n"/>
      <c r="F5" s="463" t="n">
        <v>0</v>
      </c>
      <c r="G5" s="219">
        <f>C5</f>
        <v/>
      </c>
      <c r="H5" s="345" t="n"/>
      <c r="I5" s="156" t="n"/>
    </row>
    <row r="6" ht="18.6" customFormat="1" customHeight="1" s="39">
      <c r="B6" s="220" t="inlineStr">
        <is>
          <t>ASOSIY KAPITALLARNING TO'LIQ XARAJATLARI</t>
        </is>
      </c>
      <c r="C6" s="464">
        <f>C4+C5</f>
        <v/>
      </c>
      <c r="D6" s="121" t="n"/>
      <c r="E6" s="121">
        <f>#REF!+#REF!+E4</f>
        <v/>
      </c>
      <c r="F6" s="464">
        <f>F4</f>
        <v/>
      </c>
      <c r="G6" s="121">
        <f>G4+G5</f>
        <v/>
      </c>
      <c r="H6" s="346" t="n"/>
      <c r="I6" s="155" t="n"/>
    </row>
    <row r="7" ht="19.15" customFormat="1" customHeight="1" s="39">
      <c r="B7" s="221" t="inlineStr">
        <is>
          <t>Aylanma kapital</t>
        </is>
      </c>
      <c r="C7" s="465">
        <f>C8+C9</f>
        <v/>
      </c>
      <c r="D7" s="128" t="n"/>
      <c r="E7" s="128">
        <f>E8+E9</f>
        <v/>
      </c>
      <c r="F7" s="465" t="n">
        <v>0</v>
      </c>
      <c r="G7" s="128">
        <f>G8+G9</f>
        <v/>
      </c>
      <c r="H7" s="346" t="n"/>
    </row>
    <row r="8" ht="15" customFormat="1" customHeight="1" s="39">
      <c r="B8" s="221" t="inlineStr">
        <is>
          <t>Aylanma kapital</t>
        </is>
      </c>
      <c r="C8" s="463" t="n">
        <v>0</v>
      </c>
      <c r="D8" s="219" t="n"/>
      <c r="E8" s="219" t="n">
        <v>0</v>
      </c>
      <c r="F8" s="463" t="n">
        <v>0</v>
      </c>
      <c r="G8" s="219">
        <f>C8+E8</f>
        <v/>
      </c>
      <c r="H8" s="346" t="n"/>
    </row>
    <row r="9" ht="15" customFormat="1" customHeight="1" s="39">
      <c r="B9" s="222" t="n"/>
      <c r="C9" s="466" t="n"/>
      <c r="D9" s="223" t="n"/>
      <c r="E9" s="223" t="n"/>
      <c r="F9" s="466" t="n"/>
      <c r="G9" s="224" t="n"/>
      <c r="H9" s="346" t="n"/>
    </row>
    <row r="10" ht="16.5" customFormat="1" customHeight="1" s="39">
      <c r="B10" s="256" t="inlineStr">
        <is>
          <t>MOLIYAVIY XARAJATLAR</t>
        </is>
      </c>
      <c r="C10" s="467">
        <f>SUM(C11:C12)</f>
        <v/>
      </c>
      <c r="D10" s="154" t="n"/>
      <c r="E10" s="154">
        <f>SUM(E12:E12)</f>
        <v/>
      </c>
      <c r="F10" s="467" t="n">
        <v>0</v>
      </c>
      <c r="G10" s="154">
        <f>E10+C10</f>
        <v/>
      </c>
      <c r="H10" s="346" t="n"/>
    </row>
    <row r="11" ht="16.5" customFormat="1" customHeight="1" s="39">
      <c r="B11" s="218" t="inlineStr">
        <is>
          <t>Sug'urta</t>
        </is>
      </c>
      <c r="C11" s="468" t="n">
        <v>0</v>
      </c>
      <c r="D11" s="225" t="n"/>
      <c r="E11" s="225" t="n">
        <v>0</v>
      </c>
      <c r="F11" s="468" t="n">
        <v>0</v>
      </c>
      <c r="G11" s="225">
        <f>C11+E11</f>
        <v/>
      </c>
      <c r="H11" s="346" t="n"/>
    </row>
    <row r="12" ht="16.5" customFormat="1" customHeight="1" s="39">
      <c r="B12" s="218" t="inlineStr">
        <is>
          <t>Kredit olish uchun boshqa xarajatlar</t>
        </is>
      </c>
      <c r="C12" s="468">
        <f>(F13+F14)*1%</f>
        <v/>
      </c>
      <c r="D12" s="225" t="n"/>
      <c r="E12" s="225" t="n">
        <v>0</v>
      </c>
      <c r="F12" s="468" t="n">
        <v>0</v>
      </c>
      <c r="G12" s="225">
        <f>C12+E12</f>
        <v/>
      </c>
      <c r="H12" s="346" t="n"/>
    </row>
    <row r="13" ht="19.5" customFormat="1" customHeight="1" s="39">
      <c r="B13" s="226" t="inlineStr">
        <is>
          <t>TO'LIQ ISHLAB CHIQARISH XARAJATLARI</t>
        </is>
      </c>
      <c r="C13" s="464">
        <f>C7+C6+C10</f>
        <v/>
      </c>
      <c r="D13" s="121" t="n"/>
      <c r="E13" s="121">
        <f>E6+E7</f>
        <v/>
      </c>
      <c r="F13" s="464">
        <f>+F6</f>
        <v/>
      </c>
      <c r="G13" s="121">
        <f>G7+G6+G10</f>
        <v/>
      </c>
      <c r="H13" s="346" t="n"/>
    </row>
    <row r="14" ht="30.75" customFormat="1" customHeight="1" s="39">
      <c r="B14" s="257" t="inlineStr">
        <is>
          <t>JAMI BIRINCHI INVESTITSIYA XARAJATLARI</t>
        </is>
      </c>
      <c r="C14" s="469">
        <f>C13</f>
        <v/>
      </c>
      <c r="D14" s="227" t="n"/>
      <c r="E14" s="227">
        <f>E13</f>
        <v/>
      </c>
      <c r="F14" s="469">
        <f>F13</f>
        <v/>
      </c>
      <c r="G14" s="227">
        <f>G13</f>
        <v/>
      </c>
      <c r="H14" s="346" t="n"/>
    </row>
    <row r="15" hidden="1" ht="45" customFormat="1" customHeight="1" s="39" thickTop="1">
      <c r="C15" s="347" t="n"/>
      <c r="D15" s="347" t="n"/>
      <c r="G15" s="348" t="n"/>
      <c r="H15" s="346" t="n"/>
    </row>
    <row r="16">
      <c r="C16" s="124" t="n"/>
      <c r="D16" s="124" t="n"/>
      <c r="G16" s="124" t="n"/>
    </row>
    <row r="17">
      <c r="C17" s="349" t="n"/>
      <c r="D17" s="349" t="n"/>
      <c r="F17" s="124" t="n"/>
    </row>
    <row r="18">
      <c r="G18" s="124" t="n"/>
    </row>
    <row r="19">
      <c r="B19" s="189" t="n"/>
      <c r="C19" s="350" t="n"/>
      <c r="D19" s="350" t="n"/>
    </row>
    <row r="20">
      <c r="C20" s="350" t="n"/>
      <c r="D20" s="350" t="n"/>
    </row>
    <row r="22">
      <c r="C22" s="350" t="n"/>
      <c r="D22" s="350" t="n"/>
    </row>
  </sheetData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5.xml><?xml version="1.0" encoding="utf-8"?>
<worksheet xmlns="http://schemas.openxmlformats.org/spreadsheetml/2006/main">
  <sheetPr codeName="Лист5">
    <outlinePr summaryBelow="1" summaryRight="1"/>
    <pageSetUpPr/>
  </sheetPr>
  <dimension ref="B1:K9"/>
  <sheetViews>
    <sheetView showGridLines="0" view="pageBreakPreview" zoomScale="84" zoomScaleNormal="75" zoomScaleSheetLayoutView="84" workbookViewId="0">
      <selection activeCell="C7" sqref="C7"/>
    </sheetView>
  </sheetViews>
  <sheetFormatPr baseColWidth="8" defaultRowHeight="15.75"/>
  <cols>
    <col width="19" customWidth="1" style="528" min="2" max="2"/>
    <col width="18.625" customWidth="1" style="528" min="3" max="3"/>
    <col width="12.875" customWidth="1" style="528" min="4" max="4"/>
    <col width="13.625" customWidth="1" style="528" min="5" max="5"/>
    <col width="12.625" customWidth="1" style="528" min="6" max="6"/>
    <col width="12.75" customWidth="1" style="528" min="7" max="7"/>
    <col width="13.875" customWidth="1" style="528" min="8" max="8"/>
    <col width="14" customWidth="1" style="528" min="9" max="9"/>
    <col width="14.75" customWidth="1" style="532" min="10" max="10"/>
    <col width="13.875" customWidth="1" style="532" min="11" max="11"/>
    <col width="20.875" customWidth="1" style="532" min="12" max="12"/>
  </cols>
  <sheetData>
    <row r="1">
      <c r="B1" s="3" t="n"/>
      <c r="C1" s="3" t="n"/>
    </row>
    <row r="2" ht="20.25" customHeight="1" s="532">
      <c r="B2" s="275" t="n"/>
      <c r="C2" s="275" t="n"/>
      <c r="D2" s="275" t="n"/>
      <c r="E2" s="275" t="n"/>
      <c r="F2" s="275" t="n"/>
      <c r="G2" s="276" t="n"/>
      <c r="H2" s="299" t="n"/>
      <c r="I2" s="299" t="inlineStr">
        <is>
          <t>4-ILOVA</t>
        </is>
      </c>
    </row>
    <row r="3" ht="29.45" customHeight="1" s="532">
      <c r="B3" s="278" t="inlineStr">
        <is>
          <t>AMORTIZATSIYA HISOBOTLARI</t>
        </is>
      </c>
      <c r="C3" s="279" t="n"/>
      <c r="D3" s="279" t="n"/>
      <c r="E3" s="279" t="n"/>
      <c r="F3" s="279" t="n"/>
      <c r="G3" s="279" t="n"/>
      <c r="H3" s="279" t="n"/>
      <c r="I3" s="279" t="n"/>
      <c r="J3" s="279" t="n"/>
      <c r="K3" s="279" t="n"/>
    </row>
    <row r="4" ht="25.5" customHeight="1" s="532">
      <c r="B4" s="326" t="inlineStr">
        <is>
          <t>Amortizatsiya ob'ektlari</t>
        </is>
      </c>
      <c r="C4" s="277" t="inlineStr">
        <is>
          <t>Xarajat (amortizatsiya qilinadigan baza)</t>
        </is>
      </c>
      <c r="D4" s="277" t="inlineStr">
        <is>
          <t>Amortizatsiya darajasi (%)</t>
        </is>
      </c>
      <c r="E4" s="277" t="inlineStr">
        <is>
          <t>1-yil</t>
        </is>
      </c>
      <c r="F4" s="277" t="inlineStr">
        <is>
          <t>2-yil</t>
        </is>
      </c>
      <c r="G4" s="277" t="inlineStr">
        <is>
          <t>3-yil</t>
        </is>
      </c>
      <c r="H4" s="277" t="inlineStr">
        <is>
          <t>4-yil</t>
        </is>
      </c>
      <c r="I4" s="277" t="inlineStr">
        <is>
          <t>5-yil</t>
        </is>
      </c>
      <c r="J4" s="277" t="inlineStr">
        <is>
          <t>6-yil</t>
        </is>
      </c>
      <c r="K4" s="277" t="inlineStr">
        <is>
          <t>7-yil</t>
        </is>
      </c>
    </row>
    <row r="5" ht="90.75" customHeight="1" s="532">
      <c r="B5" s="280">
        <f>'Share of Costs'!B5</f>
        <v/>
      </c>
      <c r="C5" s="351">
        <f>+'Share of Costs'!G14</f>
        <v/>
      </c>
      <c r="D5" s="352" t="n">
        <v>0.15</v>
      </c>
      <c r="E5" s="351" t="n">
        <v>75000000</v>
      </c>
      <c r="F5" s="351" t="n">
        <v>75000000</v>
      </c>
      <c r="G5" s="351" t="n">
        <v>75000000</v>
      </c>
      <c r="H5" s="351" t="n">
        <v>75000000</v>
      </c>
      <c r="I5" s="351" t="n">
        <v>75000000</v>
      </c>
      <c r="J5" s="351" t="n">
        <v>75000000</v>
      </c>
      <c r="K5" s="351" t="n">
        <v>50000000</v>
      </c>
    </row>
    <row r="6" hidden="1" ht="33" customHeight="1" s="532">
      <c r="B6" s="280">
        <f>'Share of Costs'!#REF!</f>
        <v/>
      </c>
      <c r="C6" s="351">
        <f>'Share of Costs'!#REF!</f>
        <v/>
      </c>
      <c r="D6" s="352" t="n">
        <v>0.15</v>
      </c>
      <c r="E6" s="351">
        <f>C6*D6</f>
        <v/>
      </c>
      <c r="F6" s="351">
        <f>E6</f>
        <v/>
      </c>
      <c r="G6" s="351">
        <f>F6</f>
        <v/>
      </c>
      <c r="H6" s="351">
        <f>G6</f>
        <v/>
      </c>
      <c r="I6" s="351">
        <f>H6</f>
        <v/>
      </c>
      <c r="J6" s="351">
        <f>I6</f>
        <v/>
      </c>
      <c r="K6" s="351">
        <f>J6</f>
        <v/>
      </c>
    </row>
    <row r="7" ht="27" customFormat="1" customHeight="1" s="11">
      <c r="B7" s="277" t="inlineStr">
        <is>
          <t>Jami amortizatsiya</t>
        </is>
      </c>
      <c r="C7" s="353" t="inlineStr">
        <is>
          <t>Х</t>
        </is>
      </c>
      <c r="D7" s="354" t="inlineStr">
        <is>
          <t>Х</t>
        </is>
      </c>
      <c r="E7" s="355" t="n">
        <v>75000000</v>
      </c>
      <c r="F7" s="355" t="n">
        <v>75000000</v>
      </c>
      <c r="G7" s="355" t="n">
        <v>75000000</v>
      </c>
      <c r="H7" s="355" t="n">
        <v>75000000</v>
      </c>
      <c r="I7" s="355" t="n">
        <v>75000000</v>
      </c>
      <c r="J7" s="355" t="n">
        <v>75000000</v>
      </c>
      <c r="K7" s="355" t="n">
        <v>50000000</v>
      </c>
    </row>
    <row r="8" ht="30" customFormat="1" customHeight="1" s="11">
      <c r="B8" s="277" t="inlineStr">
        <is>
          <t>Yig'ilgan amortizatsiya</t>
        </is>
      </c>
      <c r="C8" s="353" t="inlineStr">
        <is>
          <t>Х</t>
        </is>
      </c>
      <c r="D8" s="354" t="inlineStr">
        <is>
          <t>Х</t>
        </is>
      </c>
      <c r="E8" s="355" t="n">
        <v>75000000</v>
      </c>
      <c r="F8" s="355" t="n">
        <v>150000000</v>
      </c>
      <c r="G8" s="355" t="n">
        <v>225000000</v>
      </c>
      <c r="H8" s="355" t="n">
        <v>300000000</v>
      </c>
      <c r="I8" s="355" t="n">
        <v>375000000</v>
      </c>
      <c r="J8" s="355" t="n">
        <v>450000000</v>
      </c>
      <c r="K8" s="355" t="n">
        <v>350000000</v>
      </c>
    </row>
    <row r="9">
      <c r="J9" s="528" t="n"/>
      <c r="K9" s="528" t="n"/>
    </row>
  </sheetData>
  <printOptions horizontalCentered="1" verticalCentered="1"/>
  <pageMargins left="0.2362204724409449" right="0.2362204724409449" top="0.5905511811023623" bottom="0.7480314960629921" header="0.3149606299212598" footer="0.3149606299212598"/>
  <pageSetup orientation="landscape" paperSize="9" scale="60"/>
</worksheet>
</file>

<file path=xl/worksheets/sheet6.xml><?xml version="1.0" encoding="utf-8"?>
<worksheet xmlns="http://schemas.openxmlformats.org/spreadsheetml/2006/main">
  <sheetPr codeName="Лист6">
    <outlinePr summaryBelow="1" summaryRight="1"/>
    <pageSetUpPr fitToPage="1"/>
  </sheetPr>
  <dimension ref="B1:T33"/>
  <sheetViews>
    <sheetView showGridLines="0" view="pageBreakPreview" zoomScale="84" zoomScaleNormal="115" zoomScaleSheetLayoutView="84" workbookViewId="0">
      <selection activeCell="C19" sqref="C19"/>
    </sheetView>
  </sheetViews>
  <sheetFormatPr baseColWidth="8" defaultRowHeight="15.75"/>
  <cols>
    <col width="4.25" customWidth="1" style="532" min="1" max="1"/>
    <col width="22.25" customWidth="1" style="528" min="2" max="2"/>
    <col width="11.875" customWidth="1" style="528" min="3" max="3"/>
    <col width="13.375" customWidth="1" style="528" min="4" max="4"/>
    <col width="13.5" customWidth="1" style="528" min="5" max="5"/>
    <col width="20.25" customWidth="1" style="528" min="6" max="6"/>
    <col width="9" customWidth="1" style="528" min="7" max="20"/>
  </cols>
  <sheetData>
    <row r="1">
      <c r="B1" s="3" t="n"/>
      <c r="C1" s="3" t="n"/>
      <c r="D1" s="3" t="n"/>
    </row>
    <row r="2">
      <c r="E2" s="23" t="n"/>
      <c r="F2" s="268" t="inlineStr">
        <is>
          <t>5-ILOVA</t>
        </is>
      </c>
    </row>
    <row r="3" ht="20.25" customHeight="1" s="532">
      <c r="B3" s="524" t="inlineStr">
        <is>
          <t>ISH HAQI XARAJATLARI</t>
        </is>
      </c>
      <c r="C3" s="522" t="n"/>
      <c r="D3" s="522" t="n"/>
      <c r="E3" s="522" t="n"/>
      <c r="F3" s="523" t="n"/>
    </row>
    <row r="4" ht="54.6" customHeight="1" s="532">
      <c r="B4" s="521" t="inlineStr">
        <is>
          <t>LAVOZIM</t>
        </is>
      </c>
      <c r="C4" s="521" t="inlineStr">
        <is>
          <t>SONI</t>
        </is>
      </c>
      <c r="D4" s="521" t="inlineStr">
        <is>
          <t>MAOSH (so'm)</t>
        </is>
      </c>
      <c r="E4" s="521" t="inlineStr">
        <is>
          <t>Oylik maosh (so'm)</t>
        </is>
      </c>
      <c r="F4" s="281" t="inlineStr">
        <is>
          <t>YILLIK maosh (so'm)</t>
        </is>
      </c>
    </row>
    <row r="5">
      <c r="B5" s="258" t="inlineStr">
        <is>
          <t>Ma'muriyat</t>
        </is>
      </c>
      <c r="C5" s="521" t="n"/>
      <c r="D5" s="521" t="n"/>
      <c r="E5" s="521" t="n"/>
      <c r="F5" s="281" t="n"/>
    </row>
    <row r="6">
      <c r="B6" s="285" t="inlineStr">
        <is>
          <t>Direktor</t>
        </is>
      </c>
      <c r="C6" s="258">
        <f>+ВВОД!B65</f>
        <v/>
      </c>
      <c r="D6" s="356">
        <f>+ВВОД!B74</f>
        <v/>
      </c>
      <c r="E6" s="356">
        <f>C6*D6</f>
        <v/>
      </c>
      <c r="F6" s="356">
        <f>E6*12</f>
        <v/>
      </c>
    </row>
    <row r="7">
      <c r="B7" s="521" t="inlineStr">
        <is>
          <t>JAMI</t>
        </is>
      </c>
      <c r="C7" s="521">
        <f>+C6</f>
        <v/>
      </c>
      <c r="D7" s="195" t="n"/>
      <c r="E7" s="357">
        <f>SUM(E6:E6)</f>
        <v/>
      </c>
      <c r="F7" s="357">
        <f>SUM(F6:F6)</f>
        <v/>
      </c>
    </row>
    <row r="8" customFormat="1" s="11">
      <c r="B8" s="282" t="inlineStr">
        <is>
          <t>Ijtimoiy soliq</t>
        </is>
      </c>
      <c r="C8" s="288" t="n">
        <v>0.12</v>
      </c>
      <c r="D8" s="283" t="inlineStr">
        <is>
          <t>yillik ish haqi fondidan</t>
        </is>
      </c>
      <c r="E8" s="356" t="n"/>
      <c r="F8" s="357">
        <f>F7*C8</f>
        <v/>
      </c>
      <c r="G8" s="2" t="n"/>
      <c r="H8" s="283" t="n"/>
      <c r="I8" s="528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customFormat="1" s="11">
      <c r="B9" s="521" t="inlineStr">
        <is>
          <t>JAMI</t>
        </is>
      </c>
      <c r="C9" s="288">
        <f>+C6</f>
        <v/>
      </c>
      <c r="D9" s="284" t="n"/>
      <c r="E9" s="357" t="n"/>
      <c r="F9" s="357">
        <f>F7+F8</f>
        <v/>
      </c>
      <c r="G9" s="2" t="n"/>
      <c r="H9" s="2" t="n"/>
      <c r="I9" s="528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customFormat="1" s="11">
      <c r="B10" s="521" t="n"/>
      <c r="C10" s="288" t="n"/>
      <c r="D10" s="284" t="n"/>
      <c r="E10" s="357" t="n"/>
      <c r="F10" s="357" t="n"/>
      <c r="G10" s="2" t="n"/>
      <c r="H10" s="2" t="n"/>
      <c r="I10" s="528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8.5" customFormat="1" customHeight="1" s="11">
      <c r="B11" s="521" t="inlineStr">
        <is>
          <t>ISHCHI XODIM</t>
        </is>
      </c>
      <c r="C11" s="521" t="inlineStr">
        <is>
          <t>SONI</t>
        </is>
      </c>
      <c r="D11" s="521" t="inlineStr">
        <is>
          <t>MAOSH (so'm)</t>
        </is>
      </c>
      <c r="E11" s="521" t="inlineStr">
        <is>
          <t>Oylik maosh (so'm)</t>
        </is>
      </c>
      <c r="F11" s="281" t="inlineStr">
        <is>
          <t>YILLIK maosh (so'm)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B12" s="285" t="inlineStr">
        <is>
          <t>Ishchilar</t>
        </is>
      </c>
      <c r="C12" s="258">
        <f>+ВВОД!B67</f>
        <v/>
      </c>
      <c r="D12" s="356">
        <f>+ВВОД!B72</f>
        <v/>
      </c>
      <c r="E12" s="356">
        <f>+C12*D12</f>
        <v/>
      </c>
      <c r="F12" s="356">
        <f>+E12*12</f>
        <v/>
      </c>
    </row>
    <row r="13">
      <c r="B13" s="521" t="inlineStr">
        <is>
          <t>JAMI</t>
        </is>
      </c>
      <c r="C13" s="521">
        <f>+C12</f>
        <v/>
      </c>
      <c r="D13" s="357" t="n"/>
      <c r="E13" s="357" t="n">
        <v>3600000</v>
      </c>
      <c r="F13" s="357">
        <f>SUM(F12)</f>
        <v/>
      </c>
    </row>
    <row r="14">
      <c r="B14" s="282" t="inlineStr">
        <is>
          <t>Ijtimoiy soliq</t>
        </is>
      </c>
      <c r="C14" s="288" t="n">
        <v>0.12</v>
      </c>
      <c r="D14" s="283" t="inlineStr">
        <is>
          <t>yillik ish haqi fondidan</t>
        </is>
      </c>
      <c r="E14" s="356" t="n"/>
      <c r="F14" s="357">
        <f>+F13*C14</f>
        <v/>
      </c>
    </row>
    <row r="15">
      <c r="B15" s="521" t="inlineStr">
        <is>
          <t>JAMI</t>
        </is>
      </c>
      <c r="C15" s="521">
        <f>+C12</f>
        <v/>
      </c>
      <c r="D15" s="356" t="n"/>
      <c r="E15" s="356" t="n"/>
      <c r="F15" s="357">
        <f>+F13+F14</f>
        <v/>
      </c>
    </row>
    <row r="16">
      <c r="B16" s="521" t="inlineStr">
        <is>
          <t>YANGI IShChI XODIM</t>
        </is>
      </c>
      <c r="C16" s="522" t="n"/>
      <c r="D16" s="522" t="n"/>
      <c r="E16" s="522" t="n"/>
      <c r="F16" s="523" t="n"/>
    </row>
    <row r="17">
      <c r="B17" s="285" t="inlineStr">
        <is>
          <t>Ishchi</t>
        </is>
      </c>
      <c r="C17" s="258">
        <f>+ВВОД!B69</f>
        <v/>
      </c>
      <c r="D17" s="356">
        <f>+ВВОД!B76</f>
        <v/>
      </c>
      <c r="E17" s="356">
        <f>+C17*D17</f>
        <v/>
      </c>
      <c r="F17" s="356">
        <f>+E17*12</f>
        <v/>
      </c>
    </row>
    <row r="18" customFormat="1" s="11">
      <c r="B18" s="521" t="inlineStr">
        <is>
          <t>JAMI</t>
        </is>
      </c>
      <c r="C18" s="521">
        <f>+C17</f>
        <v/>
      </c>
      <c r="D18" s="195" t="n"/>
      <c r="E18" s="357">
        <f>SUM(E17)</f>
        <v/>
      </c>
      <c r="F18" s="357">
        <f>SUM(F17)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customFormat="1" s="11">
      <c r="B19" s="282" t="inlineStr">
        <is>
          <t>Ijtimoiy soliq</t>
        </is>
      </c>
      <c r="C19" s="288" t="n">
        <v>0.12</v>
      </c>
      <c r="D19" s="286" t="inlineStr">
        <is>
          <t>yillik ish haqi fondidan</t>
        </is>
      </c>
      <c r="E19" s="358" t="n"/>
      <c r="F19" s="357">
        <f>+F18*12%</f>
        <v/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customFormat="1" s="11">
      <c r="B20" s="521" t="inlineStr">
        <is>
          <t>JAMI</t>
        </is>
      </c>
      <c r="C20" s="288">
        <f>+C17</f>
        <v/>
      </c>
      <c r="D20" s="284" t="n"/>
      <c r="E20" s="359" t="n"/>
      <c r="F20" s="357">
        <f>+F18+F19</f>
        <v/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B21" s="287" t="inlineStr">
        <is>
          <t>JAMI</t>
        </is>
      </c>
      <c r="C21" s="521">
        <f>+C9+C13+C18</f>
        <v/>
      </c>
      <c r="D21" s="287" t="n"/>
      <c r="E21" s="357" t="n"/>
      <c r="F21" s="357">
        <f>+F9+F15+F20</f>
        <v/>
      </c>
    </row>
    <row r="23" ht="18.75" customHeight="1" s="532">
      <c r="B23" s="22" t="inlineStr">
        <is>
          <t>FOYDALANISH XARAJATLARI</t>
        </is>
      </c>
      <c r="C23" s="36" t="n"/>
      <c r="D23" s="36" t="n"/>
      <c r="E23" s="36" t="n"/>
      <c r="F23" s="36" t="n"/>
    </row>
    <row r="24" ht="20.25" customHeight="1" s="532" thickBot="1"/>
    <row r="25" ht="46.15" customHeight="1" s="532" thickTop="1">
      <c r="B25" s="537" t="inlineStr">
        <is>
          <t>BO'LIMLAR</t>
        </is>
      </c>
      <c r="C25" s="535" t="inlineStr">
        <is>
          <t>O'Lchov birligi</t>
        </is>
      </c>
      <c r="D25" s="535" t="inlineStr">
        <is>
          <t>YILLIK ISTE'MOL</t>
        </is>
      </c>
      <c r="E25" s="535" t="inlineStr">
        <is>
          <t>BIR BIRLIK NARXI (SO'M)</t>
        </is>
      </c>
      <c r="F25" s="116" t="inlineStr">
        <is>
          <t>YILLIK XARAJATLAR (SO'M)</t>
        </is>
      </c>
    </row>
    <row r="26">
      <c r="B26" s="270" t="inlineStr">
        <is>
          <t>Elektr</t>
        </is>
      </c>
      <c r="C26" s="258" t="inlineStr">
        <is>
          <t>kvt/soat</t>
        </is>
      </c>
      <c r="D26" s="360">
        <f>+ВВОД!B81</f>
        <v/>
      </c>
      <c r="E26" s="361" t="n">
        <v>900</v>
      </c>
      <c r="F26" s="362">
        <f>D26*E26</f>
        <v/>
      </c>
    </row>
    <row r="27">
      <c r="B27" s="270" t="inlineStr">
        <is>
          <t>Gaz</t>
        </is>
      </c>
      <c r="C27" s="258" t="inlineStr">
        <is>
          <t>kb/m</t>
        </is>
      </c>
      <c r="D27" s="360">
        <f>+ВВОД!B83</f>
        <v/>
      </c>
      <c r="E27" s="361" t="n">
        <v>1000</v>
      </c>
      <c r="F27" s="362">
        <f>D27*E27</f>
        <v/>
      </c>
    </row>
    <row r="28">
      <c r="B28" s="270" t="inlineStr">
        <is>
          <t>Suv</t>
        </is>
      </c>
      <c r="C28" s="258" t="inlineStr">
        <is>
          <t>kb/m</t>
        </is>
      </c>
      <c r="D28" s="360">
        <f>+ВВОД!B85</f>
        <v/>
      </c>
      <c r="E28" s="361" t="n">
        <v>4800</v>
      </c>
      <c r="F28" s="362">
        <f>D28*E28</f>
        <v/>
      </c>
    </row>
    <row r="29" ht="15" customHeight="1" s="532">
      <c r="B29" s="270" t="inlineStr">
        <is>
          <t>Oqava suv</t>
        </is>
      </c>
      <c r="C29" s="258" t="inlineStr">
        <is>
          <t>kb/m</t>
        </is>
      </c>
      <c r="D29" s="360">
        <f>+ВВОД!B87</f>
        <v/>
      </c>
      <c r="E29" s="363" t="n">
        <v>1500</v>
      </c>
      <c r="F29" s="362">
        <f>D29*E29</f>
        <v/>
      </c>
    </row>
    <row r="30" hidden="1" ht="15" customHeight="1" s="532">
      <c r="B30" s="126" t="n"/>
      <c r="C30" s="102" t="n"/>
      <c r="D30" s="364" t="n"/>
      <c r="E30" s="365" t="n"/>
      <c r="F30" s="366" t="n"/>
    </row>
    <row r="31" hidden="1" ht="15" customHeight="1" s="532">
      <c r="B31" s="126" t="n"/>
      <c r="C31" s="102" t="n"/>
      <c r="D31" s="364" t="n"/>
      <c r="E31" s="365" t="n"/>
      <c r="F31" s="366" t="n"/>
    </row>
    <row r="32" hidden="1" ht="15" customHeight="1" s="532">
      <c r="B32" s="126" t="n"/>
      <c r="C32" s="102" t="n"/>
      <c r="D32" s="364" t="n"/>
      <c r="E32" s="365" t="n"/>
      <c r="F32" s="366" t="n"/>
    </row>
    <row r="33" ht="30.75" customHeight="1" s="532" thickBot="1">
      <c r="B33" s="117" t="inlineStr">
        <is>
          <t>JAMI</t>
        </is>
      </c>
      <c r="C33" s="14" t="inlineStr">
        <is>
          <t>х</t>
        </is>
      </c>
      <c r="D33" s="14" t="inlineStr">
        <is>
          <t>х</t>
        </is>
      </c>
      <c r="E33" s="14" t="inlineStr">
        <is>
          <t>х</t>
        </is>
      </c>
      <c r="F33" s="367">
        <f>SUM(F26:F32)</f>
        <v/>
      </c>
    </row>
    <row r="34" ht="16.5" customHeight="1" s="532" thickTop="1"/>
  </sheetData>
  <mergeCells count="2">
    <mergeCell ref="B16:F16"/>
    <mergeCell ref="B3:F3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 scale="81"/>
</worksheet>
</file>

<file path=xl/worksheets/sheet7.xml><?xml version="1.0" encoding="utf-8"?>
<worksheet xmlns="http://schemas.openxmlformats.org/spreadsheetml/2006/main">
  <sheetPr codeName="Лист9">
    <outlinePr summaryBelow="1" summaryRight="1"/>
    <pageSetUpPr fitToPage="1"/>
  </sheetPr>
  <dimension ref="B1:L64"/>
  <sheetViews>
    <sheetView showGridLines="0" view="pageBreakPreview" topLeftCell="A12" zoomScale="84" zoomScaleNormal="75" zoomScaleSheetLayoutView="84" workbookViewId="0">
      <selection activeCell="B80" sqref="B80"/>
    </sheetView>
  </sheetViews>
  <sheetFormatPr baseColWidth="8" defaultRowHeight="15.75"/>
  <cols>
    <col width="22.625" customWidth="1" style="528" min="2" max="2"/>
    <col width="17.625" customWidth="1" style="528" min="3" max="3"/>
    <col width="20.375" customWidth="1" style="528" min="4" max="4"/>
    <col width="16.25" customWidth="1" style="528" min="5" max="5"/>
    <col width="15.125" customWidth="1" style="528" min="6" max="6"/>
    <col width="18.875" customWidth="1" style="528" min="7" max="7"/>
    <col width="17.625" customWidth="1" style="528" min="8" max="8"/>
    <col width="18.5" customWidth="1" style="528" min="9" max="9"/>
    <col width="9.5" bestFit="1" customWidth="1" style="528" min="10" max="10"/>
    <col width="9" customWidth="1" style="528" min="11" max="11"/>
  </cols>
  <sheetData>
    <row r="1" ht="14.25" customHeight="1" s="532">
      <c r="C1" s="4" t="n"/>
      <c r="D1" s="4" t="n"/>
    </row>
    <row r="2">
      <c r="B2" s="322" t="inlineStr">
        <is>
          <t>Yotoq mebeli</t>
        </is>
      </c>
      <c r="C2" s="2" t="n"/>
      <c r="D2" s="2" t="n"/>
      <c r="E2" s="2" t="n"/>
      <c r="G2" s="23" t="inlineStr">
        <is>
          <t>6-ILOVA</t>
        </is>
      </c>
    </row>
    <row r="3" ht="47.25" customHeight="1" s="532">
      <c r="B3" s="287" t="inlineStr">
        <is>
          <t>NOMI</t>
        </is>
      </c>
      <c r="C3" s="287" t="inlineStr">
        <is>
          <t>Ishlab chiqarish hajmi dona/yil</t>
        </is>
      </c>
      <c r="D3" s="287" t="inlineStr">
        <is>
          <t>Xizmat ko'rsatish soni</t>
        </is>
      </c>
      <c r="E3" s="287" t="inlineStr">
        <is>
          <t>Jami xizmat ko'rsatish hajmi dona/yil</t>
        </is>
      </c>
      <c r="F3" s="287" t="inlineStr">
        <is>
          <t>O'rtacha sotuv narxi (so'm)</t>
        </is>
      </c>
      <c r="G3" s="287" t="inlineStr">
        <is>
          <t>1 yillik savdo tushumi</t>
        </is>
      </c>
    </row>
    <row r="4" ht="45" customHeight="1" s="532">
      <c r="B4" s="298">
        <f>+ВВОД!B56</f>
        <v/>
      </c>
      <c r="C4" s="292">
        <f>+ВВОД!B58</f>
        <v/>
      </c>
      <c r="D4" s="292">
        <f>+ВВОД!B60</f>
        <v/>
      </c>
      <c r="E4" s="293">
        <f>C4*D4</f>
        <v/>
      </c>
      <c r="F4" s="368">
        <f>+ВВОД!B62</f>
        <v/>
      </c>
      <c r="G4" s="369">
        <f>E4*F4</f>
        <v/>
      </c>
    </row>
    <row r="5" hidden="1" s="532">
      <c r="B5" s="289" t="n"/>
      <c r="C5" s="290" t="n"/>
      <c r="D5" s="290" t="n"/>
      <c r="E5" s="290" t="n"/>
      <c r="F5" s="290" t="n"/>
      <c r="G5" s="291" t="n"/>
    </row>
    <row r="6" hidden="1" s="532">
      <c r="B6" s="178" t="n"/>
      <c r="C6" s="157" t="n"/>
      <c r="D6" s="174" t="n"/>
      <c r="E6" s="174" t="n"/>
      <c r="F6" s="174" t="n"/>
      <c r="G6" s="179" t="n"/>
    </row>
    <row r="7" hidden="1" s="532">
      <c r="B7" s="178" t="n"/>
      <c r="C7" s="157" t="n"/>
      <c r="D7" s="174" t="n"/>
      <c r="E7" s="174" t="n"/>
      <c r="F7" s="174" t="n"/>
      <c r="G7" s="179" t="n"/>
    </row>
    <row r="8" hidden="1" s="532">
      <c r="B8" s="178" t="n"/>
      <c r="C8" s="157" t="n"/>
      <c r="D8" s="174" t="n"/>
      <c r="E8" s="174" t="n"/>
      <c r="F8" s="174" t="n"/>
      <c r="G8" s="179" t="n"/>
    </row>
    <row r="9" hidden="1" ht="16.5" customHeight="1" s="532" thickBot="1">
      <c r="B9" s="183" t="n"/>
      <c r="C9" s="158" t="n"/>
      <c r="D9" s="174" t="n"/>
      <c r="E9" s="159" t="n"/>
      <c r="F9" s="158" t="n"/>
      <c r="G9" s="184" t="n"/>
    </row>
    <row r="10" hidden="1" s="532">
      <c r="B10" s="175" t="n"/>
      <c r="C10" s="176" t="n"/>
      <c r="D10" s="176" t="n"/>
      <c r="E10" s="176" t="n"/>
      <c r="F10" s="181" t="n"/>
      <c r="G10" s="182" t="n"/>
      <c r="H10" s="177" t="n"/>
      <c r="I10" s="196" t="n"/>
      <c r="L10" s="528" t="n"/>
    </row>
    <row r="11" hidden="1" ht="16.5" customHeight="1" s="532" thickBot="1">
      <c r="B11" s="160" t="n"/>
      <c r="C11" s="161" t="n"/>
      <c r="D11" s="161" t="n"/>
      <c r="E11" s="162" t="n"/>
      <c r="F11" s="161" t="n"/>
      <c r="G11" s="180" t="n"/>
      <c r="H11" s="163" t="n"/>
      <c r="I11" s="188" t="n"/>
      <c r="L11" s="528" t="n"/>
    </row>
    <row r="12">
      <c r="B12" s="186" t="n"/>
      <c r="C12" s="187" t="n"/>
      <c r="D12" s="187" t="n"/>
      <c r="E12" s="188" t="n"/>
      <c r="F12" s="187" t="n"/>
      <c r="G12" s="187" t="n"/>
      <c r="H12" s="188" t="n"/>
      <c r="I12" s="188" t="n"/>
      <c r="L12" s="528" t="n"/>
    </row>
    <row r="13">
      <c r="B13" s="323" t="inlineStr">
        <is>
          <t>SOTISH REJASI</t>
        </is>
      </c>
      <c r="C13" s="2" t="n"/>
      <c r="D13" s="2" t="n"/>
      <c r="E13" s="2" t="n"/>
      <c r="G13" s="23" t="n"/>
    </row>
    <row r="14" ht="31.5" customHeight="1" s="532">
      <c r="B14" s="294" t="inlineStr">
        <is>
          <t>NOMI</t>
        </is>
      </c>
      <c r="C14" s="294" t="inlineStr">
        <is>
          <t>Birlik</t>
        </is>
      </c>
      <c r="D14" s="294" t="inlineStr">
        <is>
          <t>SOTISH HAJMI MAX. PROD. YILGA DASTUR, BIRLIKLAR</t>
        </is>
      </c>
      <c r="E14" s="294" t="n"/>
      <c r="F14" s="287" t="inlineStr">
        <is>
          <t>O'rtacha xizmat narxi (so'm)</t>
        </is>
      </c>
      <c r="G14" s="277" t="inlineStr">
        <is>
          <t>Zaxiradagi tayyor mahsulot</t>
        </is>
      </c>
    </row>
    <row r="15" ht="44.25" customHeight="1" s="532">
      <c r="B15" s="295">
        <f>+B4</f>
        <v/>
      </c>
      <c r="C15" s="204" t="inlineStr">
        <is>
          <t>dona</t>
        </is>
      </c>
      <c r="D15" s="525">
        <f>E4</f>
        <v/>
      </c>
      <c r="E15" s="523" t="n"/>
      <c r="F15" s="370">
        <f>F4</f>
        <v/>
      </c>
      <c r="G15" s="371" t="n">
        <v>0</v>
      </c>
      <c r="J15" s="372" t="n"/>
    </row>
    <row r="16" hidden="1" ht="19.15" customHeight="1" s="532">
      <c r="B16" s="296" t="inlineStr">
        <is>
          <t>Parrandachilik</t>
        </is>
      </c>
      <c r="C16" s="157" t="inlineStr">
        <is>
          <t>шт</t>
        </is>
      </c>
      <c r="D16" s="525">
        <f>E6*12</f>
        <v/>
      </c>
      <c r="E16" s="523" t="n"/>
      <c r="F16" s="370">
        <f>F6</f>
        <v/>
      </c>
      <c r="G16" s="371" t="n">
        <v>0</v>
      </c>
      <c r="H16" s="373" t="n"/>
      <c r="I16" s="373" t="n"/>
    </row>
    <row r="17" hidden="1" ht="19.15" customHeight="1" s="532">
      <c r="B17" s="296">
        <f>B7</f>
        <v/>
      </c>
      <c r="C17" s="157" t="inlineStr">
        <is>
          <t>шт</t>
        </is>
      </c>
      <c r="D17" s="525">
        <f>E7*12</f>
        <v/>
      </c>
      <c r="E17" s="523" t="n"/>
      <c r="F17" s="370">
        <f>F7</f>
        <v/>
      </c>
      <c r="G17" s="371" t="n">
        <v>0</v>
      </c>
      <c r="H17" s="373" t="n"/>
      <c r="I17" s="373" t="n"/>
    </row>
    <row r="18" hidden="1" ht="19.15" customHeight="1" s="532">
      <c r="B18" s="296" t="inlineStr">
        <is>
          <t>"Bobur Аkbarov" MCHJ</t>
        </is>
      </c>
      <c r="C18" s="157" t="inlineStr">
        <is>
          <t>шт</t>
        </is>
      </c>
      <c r="D18" s="525">
        <f>E8*12</f>
        <v/>
      </c>
      <c r="E18" s="523" t="n"/>
      <c r="F18" s="370">
        <f>F8</f>
        <v/>
      </c>
      <c r="G18" s="371" t="n">
        <v>0</v>
      </c>
      <c r="H18" s="373" t="n"/>
      <c r="I18" s="373" t="n"/>
    </row>
    <row r="19" hidden="1" ht="19.15" customHeight="1" s="532" thickBot="1">
      <c r="B19" s="296">
        <f>B9</f>
        <v/>
      </c>
      <c r="C19" s="157" t="inlineStr">
        <is>
          <t>шт</t>
        </is>
      </c>
      <c r="D19" s="525">
        <f>E9*12</f>
        <v/>
      </c>
      <c r="E19" s="523" t="n"/>
      <c r="F19" s="370">
        <f>F9</f>
        <v/>
      </c>
      <c r="G19" s="371" t="n">
        <v>0</v>
      </c>
      <c r="H19" s="373" t="n"/>
      <c r="I19" s="373" t="n"/>
    </row>
    <row r="20" ht="19.15" customHeight="1" s="532">
      <c r="B20" s="296" t="n"/>
      <c r="C20" s="157" t="n"/>
      <c r="D20" s="525" t="n"/>
      <c r="E20" s="523" t="n"/>
      <c r="F20" s="370" t="n"/>
      <c r="G20" s="371" t="n"/>
      <c r="H20" s="373" t="n"/>
      <c r="I20" s="373" t="n"/>
    </row>
    <row r="21" ht="19.5" customHeight="1" s="532">
      <c r="D21" s="373" t="n"/>
    </row>
    <row r="22">
      <c r="C22" s="374" t="n"/>
      <c r="D22" s="375" t="n"/>
      <c r="E22" s="376" t="n"/>
      <c r="F22" s="376" t="n"/>
      <c r="G22" s="7" t="n"/>
      <c r="H22" s="374" t="n"/>
      <c r="I22" s="374" t="n"/>
    </row>
    <row r="23" ht="18.75" customFormat="1" customHeight="1" s="503">
      <c r="B23" s="324" t="inlineStr">
        <is>
          <t>KO'RSATGICHLAR</t>
        </is>
      </c>
      <c r="C23" s="297">
        <f>Depreciate!E4</f>
        <v/>
      </c>
      <c r="D23" s="197">
        <f>Depreciate!F4</f>
        <v/>
      </c>
      <c r="E23" s="197">
        <f>Depreciate!G4</f>
        <v/>
      </c>
      <c r="F23" s="197">
        <f>Depreciate!H4</f>
        <v/>
      </c>
      <c r="G23" s="197">
        <f>Depreciate!I4</f>
        <v/>
      </c>
      <c r="H23" s="197">
        <f>Depreciate!J4</f>
        <v/>
      </c>
      <c r="I23" s="197">
        <f>Depreciate!K4</f>
        <v/>
      </c>
    </row>
    <row r="24">
      <c r="B24" s="199" t="inlineStr">
        <is>
          <t>Quvvatlarni ishga tushirish</t>
        </is>
      </c>
      <c r="C24" s="170" t="n">
        <v>0.7</v>
      </c>
      <c r="D24" s="170" t="n">
        <v>0.75</v>
      </c>
      <c r="E24" s="170" t="n">
        <v>0.8</v>
      </c>
      <c r="F24" s="170" t="n">
        <v>0.85</v>
      </c>
      <c r="G24" s="170" t="n">
        <v>0.9</v>
      </c>
      <c r="H24" s="170" t="n">
        <v>0.95</v>
      </c>
      <c r="I24" s="170" t="n">
        <v>1</v>
      </c>
    </row>
    <row r="25" hidden="1" s="532">
      <c r="B25" s="171" t="inlineStr">
        <is>
          <t>ISHLAB CHIQARISH HAJMI</t>
        </is>
      </c>
      <c r="C25" s="171" t="n"/>
      <c r="D25" s="171" t="n"/>
      <c r="E25" s="171" t="n"/>
      <c r="F25" s="171" t="n"/>
      <c r="G25" s="171" t="n"/>
      <c r="H25" s="171" t="n"/>
      <c r="I25" s="171" t="n"/>
    </row>
    <row r="26" hidden="1" ht="0.75" customHeight="1" s="532">
      <c r="B26" s="200" t="inlineStr">
        <is>
          <t>30707942190044</t>
        </is>
      </c>
      <c r="C26" s="377">
        <f>$D15*C$24</f>
        <v/>
      </c>
      <c r="D26" s="377">
        <f>$D15*D$24</f>
        <v/>
      </c>
      <c r="E26" s="377">
        <f>$D15*E$24</f>
        <v/>
      </c>
      <c r="F26" s="377">
        <f>$D15*F$24</f>
        <v/>
      </c>
      <c r="G26" s="377">
        <f>$D15*G$24</f>
        <v/>
      </c>
      <c r="H26" s="377">
        <f>$D15*H$24</f>
        <v/>
      </c>
      <c r="I26" s="377">
        <f>$D15*I$24</f>
        <v/>
      </c>
    </row>
    <row r="27" hidden="1" ht="0.75" customHeight="1" s="532">
      <c r="B27" s="200">
        <f>B16</f>
        <v/>
      </c>
      <c r="C27" s="377">
        <f>$D$16*C24</f>
        <v/>
      </c>
      <c r="D27" s="377">
        <f>$D$16*D24</f>
        <v/>
      </c>
      <c r="E27" s="377">
        <f>$D$16*E24</f>
        <v/>
      </c>
      <c r="F27" s="377">
        <f>$D$16*F24</f>
        <v/>
      </c>
      <c r="G27" s="377">
        <f>$D$16*G24</f>
        <v/>
      </c>
      <c r="H27" s="377">
        <f>$D$16*H24</f>
        <v/>
      </c>
      <c r="I27" s="377">
        <f>$D$16*I24</f>
        <v/>
      </c>
    </row>
    <row r="28" hidden="1" ht="33" customHeight="1" s="532">
      <c r="B28" s="200" t="inlineStr">
        <is>
          <t>Tovuq boqish</t>
        </is>
      </c>
      <c r="C28" s="377">
        <f>$D$17*C24</f>
        <v/>
      </c>
      <c r="D28" s="377">
        <f>$D$17*D24</f>
        <v/>
      </c>
      <c r="E28" s="377">
        <f>$D$17*E24</f>
        <v/>
      </c>
      <c r="F28" s="377">
        <f>$D$17*F24</f>
        <v/>
      </c>
      <c r="G28" s="377">
        <f>$D$17*G24</f>
        <v/>
      </c>
      <c r="H28" s="377">
        <f>$D$17*H24</f>
        <v/>
      </c>
      <c r="I28" s="377">
        <f>$D$17*I24</f>
        <v/>
      </c>
    </row>
    <row r="29" hidden="1" ht="33" customHeight="1" s="532">
      <c r="B29" s="200">
        <f>B18</f>
        <v/>
      </c>
      <c r="C29" s="377">
        <f>$D$18*C24</f>
        <v/>
      </c>
      <c r="D29" s="377">
        <f>$D$18*D24</f>
        <v/>
      </c>
      <c r="E29" s="377">
        <f>$D$18*E24</f>
        <v/>
      </c>
      <c r="F29" s="377">
        <f>$D$18*F24</f>
        <v/>
      </c>
      <c r="G29" s="377">
        <f>$D$18*G24</f>
        <v/>
      </c>
      <c r="H29" s="377">
        <f>$D$18*H24</f>
        <v/>
      </c>
      <c r="I29" s="377">
        <f>$D$18*I24</f>
        <v/>
      </c>
    </row>
    <row r="30" hidden="1" ht="33" customHeight="1" s="532">
      <c r="B30" s="200" t="inlineStr">
        <is>
          <t>Masuliyati cheklangan jamiyat</t>
        </is>
      </c>
      <c r="C30" s="377">
        <f>$D$19*C24</f>
        <v/>
      </c>
      <c r="D30" s="377">
        <f>$D$19*D24</f>
        <v/>
      </c>
      <c r="E30" s="377">
        <f>$D$19*E24</f>
        <v/>
      </c>
      <c r="F30" s="377">
        <f>$D$19*F24</f>
        <v/>
      </c>
      <c r="G30" s="377">
        <f>$D$19*G24</f>
        <v/>
      </c>
      <c r="H30" s="377">
        <f>$D$19*H24</f>
        <v/>
      </c>
      <c r="I30" s="377">
        <f>$D$19*I24</f>
        <v/>
      </c>
    </row>
    <row r="31" hidden="1" ht="33" customHeight="1" s="532">
      <c r="B31" s="200">
        <f>B20</f>
        <v/>
      </c>
      <c r="C31" s="377">
        <f>$D$20*C24</f>
        <v/>
      </c>
      <c r="D31" s="377">
        <f>$D$20*D24</f>
        <v/>
      </c>
      <c r="E31" s="377">
        <f>$D$20*E24</f>
        <v/>
      </c>
      <c r="F31" s="377">
        <f>$D$20*F24</f>
        <v/>
      </c>
      <c r="G31" s="377">
        <f>$D$20*G24</f>
        <v/>
      </c>
      <c r="H31" s="377">
        <f>$D$20*H24</f>
        <v/>
      </c>
      <c r="I31" s="377">
        <f>$D$20*I24</f>
        <v/>
      </c>
    </row>
    <row r="32" hidden="1" ht="33" customHeight="1" s="532">
      <c r="B32" s="172" t="inlineStr">
        <is>
          <t>Akbarov boburjon Sobirjon o'g'li</t>
        </is>
      </c>
      <c r="C32" s="172" t="n"/>
      <c r="D32" s="172" t="n"/>
      <c r="E32" s="172" t="n"/>
      <c r="F32" s="172" t="n"/>
      <c r="G32" s="172" t="n"/>
      <c r="H32" s="172" t="n"/>
      <c r="I32" s="172" t="n"/>
    </row>
    <row r="33" hidden="1" ht="33" customHeight="1" s="532">
      <c r="B33" s="171" t="inlineStr">
        <is>
          <t>ЗАПАСЫ НА КОНЕЦ ГОДА</t>
        </is>
      </c>
      <c r="C33" s="171" t="n"/>
      <c r="D33" s="171" t="n"/>
      <c r="E33" s="171" t="n"/>
      <c r="F33" s="171" t="n"/>
      <c r="G33" s="171" t="n"/>
      <c r="H33" s="171" t="n"/>
      <c r="I33" s="171" t="n"/>
    </row>
    <row r="34" hidden="1" ht="33" customHeight="1" s="532">
      <c r="B34" s="200" t="inlineStr">
        <is>
          <t>AD 3859855</t>
        </is>
      </c>
      <c r="C34" s="377">
        <f>C26*G15</f>
        <v/>
      </c>
      <c r="D34" s="377">
        <f>D26*$G$15</f>
        <v/>
      </c>
      <c r="E34" s="377">
        <f>E26*$G$15</f>
        <v/>
      </c>
      <c r="F34" s="377">
        <f>F26*$G$15</f>
        <v/>
      </c>
      <c r="G34" s="377">
        <f>G26*$G$15</f>
        <v/>
      </c>
      <c r="H34" s="377">
        <f>H26*$G$15</f>
        <v/>
      </c>
      <c r="I34" s="377">
        <f>I26*$G$15</f>
        <v/>
      </c>
    </row>
    <row r="35" hidden="1" ht="33" customHeight="1" s="532">
      <c r="B35" s="200">
        <f>#REF!</f>
        <v/>
      </c>
      <c r="C35" s="377">
        <f>#REF!*#REF!</f>
        <v/>
      </c>
      <c r="D35" s="377">
        <f>#REF!*$G$15</f>
        <v/>
      </c>
      <c r="E35" s="377">
        <f>#REF!*$G$15</f>
        <v/>
      </c>
      <c r="F35" s="377">
        <f>#REF!*$G$15</f>
        <v/>
      </c>
      <c r="G35" s="377">
        <f>#REF!*$G$15</f>
        <v/>
      </c>
      <c r="H35" s="377">
        <f>#REF!*$G$15</f>
        <v/>
      </c>
      <c r="I35" s="377">
        <f>#REF!*$G$15</f>
        <v/>
      </c>
    </row>
    <row r="36" hidden="1" ht="33" customHeight="1" s="532">
      <c r="B36" s="200" t="inlineStr">
        <is>
          <t>07.07.1994</t>
        </is>
      </c>
      <c r="C36" s="377">
        <f>C27*$G16</f>
        <v/>
      </c>
      <c r="D36" s="377">
        <f>D27*$G16</f>
        <v/>
      </c>
      <c r="E36" s="377">
        <f>E27*$G16</f>
        <v/>
      </c>
      <c r="F36" s="377">
        <f>F27*$G16</f>
        <v/>
      </c>
      <c r="G36" s="377">
        <f>G27*$G16</f>
        <v/>
      </c>
      <c r="H36" s="377">
        <f>H27*$G16</f>
        <v/>
      </c>
      <c r="I36" s="377">
        <f>I27*$G16</f>
        <v/>
      </c>
    </row>
    <row r="37" hidden="1" ht="33" customHeight="1" s="532">
      <c r="B37" s="200">
        <f>B28</f>
        <v/>
      </c>
      <c r="C37" s="377">
        <f>C28*$G17</f>
        <v/>
      </c>
      <c r="D37" s="377">
        <f>D28*$G17</f>
        <v/>
      </c>
      <c r="E37" s="377">
        <f>E28*$G17</f>
        <v/>
      </c>
      <c r="F37" s="377">
        <f>F28*$G17</f>
        <v/>
      </c>
      <c r="G37" s="377">
        <f>G28*$G17</f>
        <v/>
      </c>
      <c r="H37" s="377">
        <f>H28*$G17</f>
        <v/>
      </c>
      <c r="I37" s="377">
        <f>I28*$G17</f>
        <v/>
      </c>
    </row>
    <row r="38" hidden="1" ht="33" customHeight="1" s="532">
      <c r="B38" s="200" t="inlineStr">
        <is>
          <t>150000000</t>
        </is>
      </c>
      <c r="C38" s="377">
        <f>C29*$G18</f>
        <v/>
      </c>
      <c r="D38" s="377">
        <f>D29*$G18</f>
        <v/>
      </c>
      <c r="E38" s="377">
        <f>E29*$G18</f>
        <v/>
      </c>
      <c r="F38" s="377">
        <f>F29*$G18</f>
        <v/>
      </c>
      <c r="G38" s="377">
        <f>G29*$G18</f>
        <v/>
      </c>
      <c r="H38" s="377">
        <f>H29*$G18</f>
        <v/>
      </c>
      <c r="I38" s="377">
        <f>I29*$G18</f>
        <v/>
      </c>
    </row>
    <row r="39" hidden="1" ht="33" customHeight="1" s="532">
      <c r="B39" s="200">
        <f>B30</f>
        <v/>
      </c>
      <c r="C39" s="377">
        <f>C30*$G19</f>
        <v/>
      </c>
      <c r="D39" s="377">
        <f>D30*$G19</f>
        <v/>
      </c>
      <c r="E39" s="377">
        <f>E30*$G19</f>
        <v/>
      </c>
      <c r="F39" s="377">
        <f>F30*$G19</f>
        <v/>
      </c>
      <c r="G39" s="377">
        <f>G30*$G19</f>
        <v/>
      </c>
      <c r="H39" s="377">
        <f>H30*$G19</f>
        <v/>
      </c>
      <c r="I39" s="377">
        <f>I30*$G19</f>
        <v/>
      </c>
    </row>
    <row r="40" hidden="1" ht="33" customHeight="1" s="532">
      <c r="B40" s="200">
        <f>B31</f>
        <v/>
      </c>
      <c r="C40" s="377">
        <f>C31*$G20</f>
        <v/>
      </c>
      <c r="D40" s="377">
        <f>D31*$G20</f>
        <v/>
      </c>
      <c r="E40" s="377">
        <f>E31*$G20</f>
        <v/>
      </c>
      <c r="F40" s="377">
        <f>F31*$G20</f>
        <v/>
      </c>
      <c r="G40" s="377">
        <f>G31*$G20</f>
        <v/>
      </c>
      <c r="H40" s="377">
        <f>H31*$G20</f>
        <v/>
      </c>
      <c r="I40" s="377">
        <f>I31*$G20</f>
        <v/>
      </c>
    </row>
    <row r="41" hidden="1" ht="33" customHeight="1" s="532">
      <c r="B41" s="172" t="n"/>
      <c r="C41" s="172" t="n"/>
      <c r="D41" s="172" t="n"/>
      <c r="E41" s="172" t="n"/>
      <c r="F41" s="172" t="n"/>
      <c r="G41" s="172" t="n"/>
      <c r="H41" s="172" t="n"/>
      <c r="I41" s="172" t="n"/>
    </row>
    <row r="42" hidden="1" s="532">
      <c r="B42" s="171" t="inlineStr">
        <is>
          <t>50000000</t>
        </is>
      </c>
      <c r="C42" s="171" t="n"/>
      <c r="D42" s="171" t="n"/>
      <c r="E42" s="171" t="n"/>
      <c r="F42" s="171" t="n"/>
      <c r="G42" s="171" t="n"/>
      <c r="H42" s="171" t="n"/>
      <c r="I42" s="171" t="n"/>
    </row>
    <row r="43" ht="28.5" customHeight="1" s="532">
      <c r="B43" s="200">
        <f>+B15</f>
        <v/>
      </c>
      <c r="C43" s="377">
        <f>C24*$E$4</f>
        <v/>
      </c>
      <c r="D43" s="377">
        <f>D24*$E$4</f>
        <v/>
      </c>
      <c r="E43" s="377">
        <f>E24*$E$4</f>
        <v/>
      </c>
      <c r="F43" s="377">
        <f>F24*$E$4</f>
        <v/>
      </c>
      <c r="G43" s="377">
        <f>G24*$E$4</f>
        <v/>
      </c>
      <c r="H43" s="377">
        <f>H24*$E$4</f>
        <v/>
      </c>
      <c r="I43" s="377">
        <f>I24*$E$4</f>
        <v/>
      </c>
    </row>
    <row r="44" hidden="1" ht="16.5" customHeight="1" s="532">
      <c r="B44" s="200" t="inlineStr">
        <is>
          <t>100000000</t>
        </is>
      </c>
      <c r="C44" s="377">
        <f>C27-C36</f>
        <v/>
      </c>
      <c r="D44" s="377">
        <f>D27-D36</f>
        <v/>
      </c>
      <c r="E44" s="377">
        <f>E27-E36</f>
        <v/>
      </c>
      <c r="F44" s="377">
        <f>F27-F36</f>
        <v/>
      </c>
      <c r="G44" s="377">
        <f>G27-G36</f>
        <v/>
      </c>
      <c r="H44" s="377">
        <f>H27-H36</f>
        <v/>
      </c>
      <c r="I44" s="377">
        <f>I27-I36</f>
        <v/>
      </c>
    </row>
    <row r="45" hidden="1" ht="16.5" customHeight="1" s="532">
      <c r="B45" s="200">
        <f>B37</f>
        <v/>
      </c>
      <c r="C45" s="377">
        <f>C28-C37</f>
        <v/>
      </c>
      <c r="D45" s="377">
        <f>D28-D37</f>
        <v/>
      </c>
      <c r="E45" s="377">
        <f>E28-E37</f>
        <v/>
      </c>
      <c r="F45" s="377">
        <f>F28-F37</f>
        <v/>
      </c>
      <c r="G45" s="377">
        <f>G28-G37</f>
        <v/>
      </c>
      <c r="H45" s="377">
        <f>H28-H37</f>
        <v/>
      </c>
      <c r="I45" s="377">
        <f>I28-I37</f>
        <v/>
      </c>
    </row>
    <row r="46" hidden="1" ht="16.5" customHeight="1" s="532">
      <c r="B46" s="200" t="inlineStr">
        <is>
          <t>84</t>
        </is>
      </c>
      <c r="C46" s="377">
        <f>C29-C38</f>
        <v/>
      </c>
      <c r="D46" s="377">
        <f>D29-D38</f>
        <v/>
      </c>
      <c r="E46" s="377">
        <f>E29-E38</f>
        <v/>
      </c>
      <c r="F46" s="377">
        <f>F29-F38</f>
        <v/>
      </c>
      <c r="G46" s="377">
        <f>G29-G38</f>
        <v/>
      </c>
      <c r="H46" s="377">
        <f>H29-H38</f>
        <v/>
      </c>
      <c r="I46" s="377">
        <f>I29-I38</f>
        <v/>
      </c>
    </row>
    <row r="47" hidden="1" ht="16.5" customHeight="1" s="532">
      <c r="B47" s="200">
        <f>B39</f>
        <v/>
      </c>
      <c r="C47" s="377">
        <f>C30-C39</f>
        <v/>
      </c>
      <c r="D47" s="377">
        <f>D30-D39</f>
        <v/>
      </c>
      <c r="E47" s="377">
        <f>E30-E39</f>
        <v/>
      </c>
      <c r="F47" s="377">
        <f>F30-F39</f>
        <v/>
      </c>
      <c r="G47" s="377">
        <f>G30-G39</f>
        <v/>
      </c>
      <c r="H47" s="377">
        <f>H30-H39</f>
        <v/>
      </c>
      <c r="I47" s="377">
        <f>I30-I39</f>
        <v/>
      </c>
    </row>
    <row r="48" hidden="1" ht="16.5" customHeight="1" s="532">
      <c r="B48" s="200" t="inlineStr">
        <is>
          <t>24</t>
        </is>
      </c>
      <c r="C48" s="377">
        <f>C31-C40</f>
        <v/>
      </c>
      <c r="D48" s="377">
        <f>D31-D40</f>
        <v/>
      </c>
      <c r="E48" s="377">
        <f>E31-E40</f>
        <v/>
      </c>
      <c r="F48" s="377">
        <f>F31-F40</f>
        <v/>
      </c>
      <c r="G48" s="377">
        <f>G31-G40</f>
        <v/>
      </c>
      <c r="H48" s="377">
        <f>H31-H40</f>
        <v/>
      </c>
      <c r="I48" s="377">
        <f>I31-I40</f>
        <v/>
      </c>
    </row>
    <row r="49" ht="17.45" customHeight="1" s="532">
      <c r="B49" s="172" t="n"/>
      <c r="C49" s="172" t="n"/>
      <c r="D49" s="172" t="n"/>
      <c r="E49" s="172" t="n"/>
      <c r="F49" s="172" t="n"/>
      <c r="G49" s="172" t="n"/>
      <c r="H49" s="172" t="n"/>
      <c r="I49" s="172" t="n"/>
    </row>
    <row r="50" hidden="1" s="532">
      <c r="B50" s="199" t="inlineStr">
        <is>
          <t>14</t>
        </is>
      </c>
      <c r="C50" s="199" t="n"/>
      <c r="D50" s="199" t="n"/>
      <c r="E50" s="199" t="n"/>
      <c r="F50" s="199" t="n"/>
      <c r="G50" s="199" t="n"/>
      <c r="H50" s="199" t="n"/>
      <c r="I50" s="199" t="n"/>
    </row>
    <row r="51">
      <c r="B51" s="200">
        <f>B43</f>
        <v/>
      </c>
      <c r="C51" s="13">
        <f>C43*$F15</f>
        <v/>
      </c>
      <c r="D51" s="13">
        <f>D43*$F15</f>
        <v/>
      </c>
      <c r="E51" s="13">
        <f>E43*$F15</f>
        <v/>
      </c>
      <c r="F51" s="13">
        <f>F43*$F15</f>
        <v/>
      </c>
      <c r="G51" s="13">
        <f>G43*$F15</f>
        <v/>
      </c>
      <c r="H51" s="13">
        <f>H43*$F15</f>
        <v/>
      </c>
      <c r="I51" s="13">
        <f>I43*$F15</f>
        <v/>
      </c>
    </row>
    <row r="52" hidden="1" s="532">
      <c r="B52" s="201" t="n">
        <v>1874001.16</v>
      </c>
      <c r="C52" s="13">
        <f>C44*$F16</f>
        <v/>
      </c>
      <c r="D52" s="13">
        <f>D44*$F16</f>
        <v/>
      </c>
      <c r="E52" s="13">
        <f>E44*$F16</f>
        <v/>
      </c>
      <c r="F52" s="13">
        <f>F44*$F16</f>
        <v/>
      </c>
      <c r="G52" s="13">
        <f>G44*$F16</f>
        <v/>
      </c>
      <c r="H52" s="13">
        <f>H44*$F16</f>
        <v/>
      </c>
      <c r="I52" s="13">
        <f>I44*$F16</f>
        <v/>
      </c>
    </row>
    <row r="53" hidden="1" ht="16.5" customHeight="1" s="532">
      <c r="B53" s="201" t="n">
        <v>157416097.49</v>
      </c>
      <c r="C53" s="13">
        <f>C45*$F17</f>
        <v/>
      </c>
      <c r="D53" s="13">
        <f>D45*$F17</f>
        <v/>
      </c>
      <c r="E53" s="13">
        <f>E45*$F17</f>
        <v/>
      </c>
      <c r="F53" s="13">
        <f>F45*$F17</f>
        <v/>
      </c>
      <c r="G53" s="13">
        <f>G45*$F17</f>
        <v/>
      </c>
      <c r="H53" s="13">
        <f>H45*$F17</f>
        <v/>
      </c>
      <c r="I53" s="13">
        <f>I45*$F17</f>
        <v/>
      </c>
    </row>
    <row r="54" hidden="1" s="532">
      <c r="B54" s="201" t="n">
        <v>57416097.49</v>
      </c>
      <c r="C54" s="13">
        <f>C46*$F18</f>
        <v/>
      </c>
      <c r="D54" s="13">
        <f>D46*$F18</f>
        <v/>
      </c>
      <c r="E54" s="13">
        <f>E46*$F18</f>
        <v/>
      </c>
      <c r="F54" s="13">
        <f>F46*$F18</f>
        <v/>
      </c>
      <c r="G54" s="13">
        <f>G46*$F18</f>
        <v/>
      </c>
      <c r="H54" s="13">
        <f>H46*$F18</f>
        <v/>
      </c>
      <c r="I54" s="13">
        <f>I46*$F18</f>
        <v/>
      </c>
    </row>
    <row r="55" hidden="1" s="532">
      <c r="B55" s="201">
        <f>B47</f>
        <v/>
      </c>
      <c r="C55" s="13">
        <f>C47*$F19</f>
        <v/>
      </c>
      <c r="D55" s="13">
        <f>D47*$F19</f>
        <v/>
      </c>
      <c r="E55" s="13">
        <f>E47*$F19</f>
        <v/>
      </c>
      <c r="F55" s="13">
        <f>F47*$F19</f>
        <v/>
      </c>
      <c r="G55" s="13">
        <f>G47*$F19</f>
        <v/>
      </c>
      <c r="H55" s="13">
        <f>H47*$F19</f>
        <v/>
      </c>
      <c r="I55" s="13">
        <f>I47*$F19</f>
        <v/>
      </c>
    </row>
    <row r="56" ht="26.25" customHeight="1" s="532">
      <c r="B56" s="201" t="n"/>
      <c r="C56" s="13">
        <f>C48*$F20</f>
        <v/>
      </c>
      <c r="D56" s="13">
        <f>D48*$F20</f>
        <v/>
      </c>
      <c r="E56" s="13">
        <f>E48*$F20</f>
        <v/>
      </c>
      <c r="F56" s="13">
        <f>F48*$F20</f>
        <v/>
      </c>
      <c r="G56" s="13">
        <f>G48*$F20</f>
        <v/>
      </c>
      <c r="H56" s="13">
        <f>H48*$F20</f>
        <v/>
      </c>
      <c r="I56" s="13">
        <f>I48*$F20</f>
        <v/>
      </c>
    </row>
    <row r="57">
      <c r="B57" s="173" t="n"/>
      <c r="C57" s="173" t="n"/>
      <c r="D57" s="173" t="n"/>
      <c r="E57" s="173" t="n"/>
      <c r="F57" s="173" t="n"/>
      <c r="G57" s="173" t="n"/>
      <c r="H57" s="173" t="n"/>
      <c r="I57" s="173" t="n"/>
    </row>
    <row r="58" ht="42" customHeight="1" s="532">
      <c r="B58" s="501" t="inlineStr">
        <is>
          <t>JAMI SOTISH DAROMADLARI</t>
        </is>
      </c>
      <c r="C58" s="198" t="n">
        <v>1260000000</v>
      </c>
      <c r="D58" s="198" t="n">
        <v>1350000000</v>
      </c>
      <c r="E58" s="198" t="n">
        <v>1440000000</v>
      </c>
      <c r="F58" s="198" t="n">
        <v>1530000000</v>
      </c>
      <c r="G58" s="198" t="n">
        <v>1620000000</v>
      </c>
      <c r="H58" s="198" t="n">
        <v>1710000000</v>
      </c>
      <c r="I58" s="198" t="n">
        <v>1800000000</v>
      </c>
    </row>
    <row r="60">
      <c r="C60" s="378" t="n"/>
      <c r="D60" s="378" t="n"/>
      <c r="E60" s="378" t="n"/>
      <c r="F60" s="378" t="n"/>
      <c r="G60" s="378" t="n"/>
    </row>
    <row r="61">
      <c r="C61" s="378" t="n"/>
    </row>
    <row r="62">
      <c r="D62" s="378" t="n"/>
    </row>
    <row r="63">
      <c r="C63" s="378" t="n"/>
      <c r="D63" s="378" t="n"/>
    </row>
    <row r="64">
      <c r="D64" s="379" t="n"/>
    </row>
  </sheetData>
  <mergeCells count="6">
    <mergeCell ref="D20:E20"/>
    <mergeCell ref="D16:E16"/>
    <mergeCell ref="D15:E15"/>
    <mergeCell ref="D19:E19"/>
    <mergeCell ref="D18:E18"/>
    <mergeCell ref="D17:E17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 scale="77"/>
</worksheet>
</file>

<file path=xl/worksheets/sheet8.xml><?xml version="1.0" encoding="utf-8"?>
<worksheet xmlns="http://schemas.openxmlformats.org/spreadsheetml/2006/main">
  <sheetPr codeName="Лист11">
    <outlinePr summaryBelow="1" summaryRight="1"/>
    <pageSetUpPr fitToPage="1"/>
  </sheetPr>
  <dimension ref="A1:K96"/>
  <sheetViews>
    <sheetView showGridLines="0" view="pageBreakPreview" zoomScale="85" zoomScaleNormal="75" zoomScaleSheetLayoutView="85" workbookViewId="0">
      <selection activeCell="C23" sqref="C23"/>
    </sheetView>
  </sheetViews>
  <sheetFormatPr baseColWidth="8" defaultRowHeight="15.75" outlineLevelRow="1"/>
  <cols>
    <col width="18" customWidth="1" style="528" min="2" max="2"/>
    <col width="18" customWidth="1" style="527" min="3" max="3"/>
    <col width="18" customWidth="1" style="528" min="4" max="4"/>
    <col width="18" bestFit="1" customWidth="1" style="529" min="5" max="5"/>
    <col width="18" bestFit="1" customWidth="1" style="528" min="6" max="6"/>
    <col width="18" customWidth="1" style="528" min="7" max="7"/>
    <col width="16.125" customWidth="1" style="528" min="8" max="8"/>
    <col width="16.5" bestFit="1" customWidth="1" style="528" min="9" max="10"/>
    <col width="9" customWidth="1" style="528" min="11" max="11"/>
  </cols>
  <sheetData>
    <row r="1">
      <c r="B1" s="3" t="n"/>
      <c r="C1" s="380" t="n"/>
      <c r="D1" s="4" t="n"/>
      <c r="F1" s="325" t="inlineStr">
        <is>
          <t>8-9-ILOVA</t>
        </is>
      </c>
      <c r="G1" s="325" t="n"/>
    </row>
    <row r="2" ht="21" customHeight="1" s="532" thickBot="1">
      <c r="B2" s="526" t="inlineStr">
        <is>
          <t xml:space="preserve">                TO'LOV GRAFIGI</t>
        </is>
      </c>
      <c r="G2" s="526" t="n"/>
      <c r="H2" s="7" t="n"/>
    </row>
    <row r="3" ht="15.75" customHeight="1" s="532" thickTop="1">
      <c r="C3" s="381" t="inlineStr">
        <is>
          <t>Kredit muddati</t>
        </is>
      </c>
      <c r="D3" s="382" t="n">
        <v>84</v>
      </c>
      <c r="E3" s="382" t="inlineStr">
        <is>
          <t>oy</t>
        </is>
      </c>
    </row>
    <row r="4" hidden="1" s="532">
      <c r="C4" s="383" t="n"/>
      <c r="D4" s="384" t="n"/>
      <c r="E4" s="384" t="n"/>
    </row>
    <row r="5">
      <c r="C5" s="385" t="inlineStr">
        <is>
          <t>Imtiyozli davr</t>
        </is>
      </c>
      <c r="D5" s="386" t="n">
        <v>6</v>
      </c>
      <c r="E5" s="386" t="inlineStr">
        <is>
          <t>oy</t>
        </is>
      </c>
    </row>
    <row r="6">
      <c r="C6" s="385" t="inlineStr">
        <is>
          <t>Foiz</t>
        </is>
      </c>
      <c r="D6" s="387" t="n">
        <v>0.14</v>
      </c>
      <c r="E6" s="386" t="inlineStr">
        <is>
          <t>foiz</t>
        </is>
      </c>
    </row>
    <row r="7" ht="12" customHeight="1" s="532">
      <c r="C7" s="385" t="inlineStr">
        <is>
          <t>Jamg'arma kompensatsiyasi</t>
        </is>
      </c>
      <c r="D7" s="317" t="n">
        <v>0</v>
      </c>
      <c r="E7" s="386" t="inlineStr">
        <is>
          <t>foiz</t>
        </is>
      </c>
    </row>
    <row r="8" hidden="1" s="532">
      <c r="C8" s="385" t="n"/>
      <c r="D8" s="386" t="n"/>
      <c r="E8" s="386" t="n"/>
    </row>
    <row r="9" ht="16.5" customHeight="1" s="532" thickBot="1">
      <c r="C9" s="388" t="inlineStr">
        <is>
          <t>Kredit summasi</t>
        </is>
      </c>
      <c r="D9" s="321" t="n">
        <v>350000000</v>
      </c>
      <c r="E9" s="389" t="inlineStr">
        <is>
          <t>so'm</t>
        </is>
      </c>
      <c r="F9" s="390" t="n"/>
      <c r="G9" s="390" t="n"/>
    </row>
    <row r="10" ht="16.5" customHeight="1" s="532" thickTop="1"/>
    <row r="11" ht="25.5" customHeight="1" s="532">
      <c r="B11" s="543" t="inlineStr">
        <is>
          <t>OYLAR</t>
        </is>
      </c>
      <c r="C11" s="544" t="inlineStr">
        <is>
          <t>ASOSIY QARZ TO'LOVI</t>
        </is>
      </c>
      <c r="D11" s="543" t="inlineStr">
        <is>
          <t>ASOSIY QARZ QOLDIG'I</t>
        </is>
      </c>
      <c r="E11" s="545" t="inlineStr">
        <is>
          <t>FOIZ TO'LOVLARI</t>
        </is>
      </c>
      <c r="F11" s="543" t="inlineStr">
        <is>
          <t>JAMI TO'LOV</t>
        </is>
      </c>
      <c r="G11" s="543" t="inlineStr">
        <is>
          <t>YIL</t>
        </is>
      </c>
    </row>
    <row r="12">
      <c r="B12" s="546" t="n">
        <v>1</v>
      </c>
      <c r="C12" s="547" t="n">
        <v>0</v>
      </c>
      <c r="D12" s="548" t="n">
        <v>350000000</v>
      </c>
      <c r="E12" s="548" t="n">
        <v>4083333.33</v>
      </c>
      <c r="F12" s="548" t="n">
        <v>4083333.33</v>
      </c>
      <c r="G12" s="549" t="inlineStr">
        <is>
          <t>1-yil</t>
        </is>
      </c>
      <c r="I12" s="397" t="n"/>
      <c r="J12" s="203" t="n"/>
    </row>
    <row r="13">
      <c r="B13" s="546" t="n">
        <v>2</v>
      </c>
      <c r="C13" s="547" t="n">
        <v>0</v>
      </c>
      <c r="D13" s="548" t="n">
        <v>350000000</v>
      </c>
      <c r="E13" s="548" t="n">
        <v>4083333.33</v>
      </c>
      <c r="F13" s="548" t="n">
        <v>4083333.33</v>
      </c>
      <c r="G13" s="549" t="inlineStr">
        <is>
          <t>1-yil</t>
        </is>
      </c>
      <c r="I13" s="397" t="n"/>
      <c r="J13" s="203" t="n"/>
    </row>
    <row r="14">
      <c r="B14" s="546" t="n">
        <v>3</v>
      </c>
      <c r="C14" s="547" t="n">
        <v>0</v>
      </c>
      <c r="D14" s="548" t="n">
        <v>350000000</v>
      </c>
      <c r="E14" s="548" t="n">
        <v>4083333.33</v>
      </c>
      <c r="F14" s="548" t="n">
        <v>4083333.33</v>
      </c>
      <c r="G14" s="549" t="inlineStr">
        <is>
          <t>1-yil</t>
        </is>
      </c>
      <c r="I14" s="397" t="n"/>
      <c r="J14" s="203" t="n"/>
    </row>
    <row r="15">
      <c r="B15" s="546" t="n">
        <v>4</v>
      </c>
      <c r="C15" s="547" t="n">
        <v>0</v>
      </c>
      <c r="D15" s="548" t="n">
        <v>350000000</v>
      </c>
      <c r="E15" s="548" t="n">
        <v>4083333.33</v>
      </c>
      <c r="F15" s="548" t="n">
        <v>4083333.33</v>
      </c>
      <c r="G15" s="549" t="inlineStr">
        <is>
          <t>1-yil</t>
        </is>
      </c>
      <c r="I15" s="397" t="n"/>
      <c r="J15" s="203" t="n"/>
    </row>
    <row r="16">
      <c r="B16" s="546" t="n">
        <v>5</v>
      </c>
      <c r="C16" s="547" t="n">
        <v>0</v>
      </c>
      <c r="D16" s="548" t="n">
        <v>350000000</v>
      </c>
      <c r="E16" s="548" t="n">
        <v>4083333.33</v>
      </c>
      <c r="F16" s="548" t="n">
        <v>4083333.33</v>
      </c>
      <c r="G16" s="549" t="inlineStr">
        <is>
          <t>1-yil</t>
        </is>
      </c>
      <c r="I16" s="397" t="n"/>
      <c r="J16" s="203" t="n"/>
    </row>
    <row r="17">
      <c r="B17" s="546" t="n">
        <v>6</v>
      </c>
      <c r="C17" s="547" t="n">
        <v>0</v>
      </c>
      <c r="D17" s="548" t="n">
        <v>350000000</v>
      </c>
      <c r="E17" s="548" t="n">
        <v>4083333.33</v>
      </c>
      <c r="F17" s="548" t="n">
        <v>4083333.33</v>
      </c>
      <c r="G17" s="549" t="inlineStr">
        <is>
          <t>1-yil</t>
        </is>
      </c>
      <c r="I17" s="397" t="n"/>
      <c r="J17" s="203" t="n"/>
    </row>
    <row r="18">
      <c r="B18" s="550" t="n">
        <v>7</v>
      </c>
      <c r="C18" s="551" t="n">
        <v>2775378.1</v>
      </c>
      <c r="D18" s="551" t="n">
        <v>347224621.9</v>
      </c>
      <c r="E18" s="551" t="n">
        <v>4083333.33</v>
      </c>
      <c r="F18" s="551" t="n">
        <v>6858711.44</v>
      </c>
      <c r="G18" s="552" t="inlineStr">
        <is>
          <t>1-yil</t>
        </is>
      </c>
      <c r="I18" s="397" t="n"/>
      <c r="J18" s="203" t="n"/>
    </row>
    <row r="19">
      <c r="B19" s="550" t="n">
        <v>8</v>
      </c>
      <c r="C19" s="551" t="n">
        <v>2807757.51</v>
      </c>
      <c r="D19" s="551" t="n">
        <v>344416864.38</v>
      </c>
      <c r="E19" s="551" t="n">
        <v>4050953.92</v>
      </c>
      <c r="F19" s="551" t="n">
        <v>6858711.44</v>
      </c>
      <c r="G19" s="552" t="inlineStr">
        <is>
          <t>1-yil</t>
        </is>
      </c>
      <c r="I19" s="397" t="n"/>
      <c r="J19" s="203" t="n"/>
    </row>
    <row r="20">
      <c r="B20" s="550" t="n">
        <v>9</v>
      </c>
      <c r="C20" s="551" t="n">
        <v>2840514.68</v>
      </c>
      <c r="D20" s="551" t="n">
        <v>341576349.7</v>
      </c>
      <c r="E20" s="551" t="n">
        <v>4018196.75</v>
      </c>
      <c r="F20" s="551" t="n">
        <v>6858711.44</v>
      </c>
      <c r="G20" s="552" t="inlineStr">
        <is>
          <t>1-yil</t>
        </is>
      </c>
      <c r="I20" s="397" t="n"/>
      <c r="J20" s="203" t="n"/>
    </row>
    <row r="21">
      <c r="B21" s="550" t="n">
        <v>10</v>
      </c>
      <c r="C21" s="551" t="n">
        <v>2873654.02</v>
      </c>
      <c r="D21" s="551" t="n">
        <v>338702695.68</v>
      </c>
      <c r="E21" s="551" t="n">
        <v>3985057.41</v>
      </c>
      <c r="F21" s="551" t="n">
        <v>6858711.44</v>
      </c>
      <c r="G21" s="552" t="inlineStr">
        <is>
          <t>1-yil</t>
        </is>
      </c>
      <c r="I21" s="397" t="n"/>
      <c r="J21" s="203" t="n"/>
    </row>
    <row r="22">
      <c r="B22" s="550" t="n">
        <v>11</v>
      </c>
      <c r="C22" s="551" t="n">
        <v>2907179.99</v>
      </c>
      <c r="D22" s="551" t="n">
        <v>335795515.69</v>
      </c>
      <c r="E22" s="551" t="n">
        <v>3951531.45</v>
      </c>
      <c r="F22" s="551" t="n">
        <v>6858711.44</v>
      </c>
      <c r="G22" s="552" t="inlineStr">
        <is>
          <t>1-yil</t>
        </is>
      </c>
      <c r="I22" s="397" t="n"/>
      <c r="J22" s="203" t="n"/>
    </row>
    <row r="23">
      <c r="B23" s="550" t="n">
        <v>12</v>
      </c>
      <c r="C23" s="551" t="n">
        <v>2941097.09</v>
      </c>
      <c r="D23" s="551" t="n">
        <v>332854418.61</v>
      </c>
      <c r="E23" s="551" t="n">
        <v>3917614.35</v>
      </c>
      <c r="F23" s="551" t="n">
        <v>6858711.44</v>
      </c>
      <c r="G23" s="552" t="inlineStr">
        <is>
          <t>1-yil</t>
        </is>
      </c>
      <c r="I23" s="397" t="n"/>
      <c r="J23" s="203" t="n"/>
    </row>
    <row r="24">
      <c r="B24" s="550" t="n">
        <v>13</v>
      </c>
      <c r="C24" s="551" t="n">
        <v>2975409.88</v>
      </c>
      <c r="D24" s="551" t="n">
        <v>329879008.72</v>
      </c>
      <c r="E24" s="551" t="n">
        <v>3883301.55</v>
      </c>
      <c r="F24" s="551" t="n">
        <v>6858711.44</v>
      </c>
      <c r="G24" s="552" t="inlineStr">
        <is>
          <t>2-yil</t>
        </is>
      </c>
      <c r="I24" s="397" t="n"/>
      <c r="J24" s="203" t="n"/>
    </row>
    <row r="25">
      <c r="B25" s="550" t="n">
        <v>14</v>
      </c>
      <c r="C25" s="551" t="n">
        <v>3010123</v>
      </c>
      <c r="D25" s="551" t="n">
        <v>326868885.72</v>
      </c>
      <c r="E25" s="551" t="n">
        <v>3848588.44</v>
      </c>
      <c r="F25" s="551" t="n">
        <v>6858711.44</v>
      </c>
      <c r="G25" s="552" t="inlineStr">
        <is>
          <t>2-yil</t>
        </is>
      </c>
      <c r="I25" s="397" t="n"/>
      <c r="J25" s="203" t="n"/>
    </row>
    <row r="26">
      <c r="B26" s="550" t="n">
        <v>15</v>
      </c>
      <c r="C26" s="551" t="n">
        <v>3045241.1</v>
      </c>
      <c r="D26" s="551" t="n">
        <v>323823644.62</v>
      </c>
      <c r="E26" s="551" t="n">
        <v>3813470.33</v>
      </c>
      <c r="F26" s="551" t="n">
        <v>6858711.44</v>
      </c>
      <c r="G26" s="552" t="inlineStr">
        <is>
          <t>2-yil</t>
        </is>
      </c>
      <c r="I26" s="397" t="n"/>
      <c r="J26" s="203" t="n"/>
    </row>
    <row r="27">
      <c r="B27" s="550" t="n">
        <v>16</v>
      </c>
      <c r="C27" s="551" t="n">
        <v>3080768.91</v>
      </c>
      <c r="D27" s="551" t="n">
        <v>320742875.7</v>
      </c>
      <c r="E27" s="551" t="n">
        <v>3777942.52</v>
      </c>
      <c r="F27" s="551" t="n">
        <v>6858711.44</v>
      </c>
      <c r="G27" s="552" t="inlineStr">
        <is>
          <t>2-yil</t>
        </is>
      </c>
      <c r="I27" s="397" t="n"/>
      <c r="J27" s="203" t="n"/>
    </row>
    <row r="28">
      <c r="B28" s="550" t="n">
        <v>17</v>
      </c>
      <c r="C28" s="551" t="n">
        <v>3116711.22</v>
      </c>
      <c r="D28" s="551" t="n">
        <v>317626164.49</v>
      </c>
      <c r="E28" s="551" t="n">
        <v>3742000.22</v>
      </c>
      <c r="F28" s="551" t="n">
        <v>6858711.44</v>
      </c>
      <c r="G28" s="552" t="inlineStr">
        <is>
          <t>2-yil</t>
        </is>
      </c>
      <c r="I28" s="397" t="n"/>
      <c r="J28" s="203" t="n"/>
    </row>
    <row r="29">
      <c r="B29" s="550" t="n">
        <v>18</v>
      </c>
      <c r="C29" s="551" t="n">
        <v>3153072.85</v>
      </c>
      <c r="D29" s="551" t="n">
        <v>314473091.64</v>
      </c>
      <c r="E29" s="551" t="n">
        <v>3705638.59</v>
      </c>
      <c r="F29" s="551" t="n">
        <v>6858711.44</v>
      </c>
      <c r="G29" s="552" t="inlineStr">
        <is>
          <t>2-yil</t>
        </is>
      </c>
      <c r="I29" s="397" t="n"/>
      <c r="J29" s="203" t="n"/>
    </row>
    <row r="30">
      <c r="B30" s="550" t="n">
        <v>19</v>
      </c>
      <c r="C30" s="551" t="n">
        <v>3189858.7</v>
      </c>
      <c r="D30" s="551" t="n">
        <v>311283232.94</v>
      </c>
      <c r="E30" s="551" t="n">
        <v>3668852.74</v>
      </c>
      <c r="F30" s="551" t="n">
        <v>6858711.44</v>
      </c>
      <c r="G30" s="552" t="inlineStr">
        <is>
          <t>2-yil</t>
        </is>
      </c>
      <c r="I30" s="397" t="n"/>
      <c r="J30" s="203" t="n"/>
    </row>
    <row r="31">
      <c r="B31" s="550" t="n">
        <v>20</v>
      </c>
      <c r="C31" s="551" t="n">
        <v>3227073.72</v>
      </c>
      <c r="D31" s="551" t="n">
        <v>308056159.22</v>
      </c>
      <c r="E31" s="551" t="n">
        <v>3631637.72</v>
      </c>
      <c r="F31" s="551" t="n">
        <v>6858711.44</v>
      </c>
      <c r="G31" s="552" t="inlineStr">
        <is>
          <t>2-yil</t>
        </is>
      </c>
      <c r="I31" s="397" t="n"/>
      <c r="J31" s="203" t="n"/>
    </row>
    <row r="32">
      <c r="B32" s="550" t="n">
        <v>21</v>
      </c>
      <c r="C32" s="551" t="n">
        <v>3264722.91</v>
      </c>
      <c r="D32" s="551" t="n">
        <v>304791436.31</v>
      </c>
      <c r="E32" s="551" t="n">
        <v>3593988.52</v>
      </c>
      <c r="F32" s="551" t="n">
        <v>6858711.44</v>
      </c>
      <c r="G32" s="552" t="inlineStr">
        <is>
          <t>2-yil</t>
        </is>
      </c>
      <c r="I32" s="397" t="n"/>
      <c r="J32" s="203" t="n"/>
    </row>
    <row r="33">
      <c r="B33" s="550" t="n">
        <v>22</v>
      </c>
      <c r="C33" s="551" t="n">
        <v>3302811.35</v>
      </c>
      <c r="D33" s="551" t="n">
        <v>301488624.96</v>
      </c>
      <c r="E33" s="551" t="n">
        <v>3555900.09</v>
      </c>
      <c r="F33" s="551" t="n">
        <v>6858711.44</v>
      </c>
      <c r="G33" s="552" t="inlineStr">
        <is>
          <t>2-yil</t>
        </is>
      </c>
      <c r="I33" s="397" t="n"/>
      <c r="J33" s="203" t="n"/>
    </row>
    <row r="34">
      <c r="B34" s="550" t="n">
        <v>23</v>
      </c>
      <c r="C34" s="551" t="n">
        <v>3341344.14</v>
      </c>
      <c r="D34" s="551" t="n">
        <v>298147280.82</v>
      </c>
      <c r="E34" s="551" t="n">
        <v>3517367.29</v>
      </c>
      <c r="F34" s="551" t="n">
        <v>6858711.44</v>
      </c>
      <c r="G34" s="552" t="inlineStr">
        <is>
          <t>2-yil</t>
        </is>
      </c>
      <c r="I34" s="397" t="n"/>
      <c r="J34" s="203" t="n"/>
    </row>
    <row r="35">
      <c r="B35" s="550" t="n">
        <v>24</v>
      </c>
      <c r="C35" s="551" t="n">
        <v>3380326.49</v>
      </c>
      <c r="D35" s="551" t="n">
        <v>294766954.33</v>
      </c>
      <c r="E35" s="551" t="n">
        <v>3478384.94</v>
      </c>
      <c r="F35" s="551" t="n">
        <v>6858711.44</v>
      </c>
      <c r="G35" s="552" t="inlineStr">
        <is>
          <t>2-yil</t>
        </is>
      </c>
      <c r="I35" s="397" t="n"/>
      <c r="J35" s="203" t="n"/>
    </row>
    <row r="36">
      <c r="B36" s="550" t="n">
        <v>25</v>
      </c>
      <c r="C36" s="551" t="n">
        <v>3419763.63</v>
      </c>
      <c r="D36" s="551" t="n">
        <v>291347190.69</v>
      </c>
      <c r="E36" s="551" t="n">
        <v>3438947.8</v>
      </c>
      <c r="F36" s="551" t="n">
        <v>6858711.44</v>
      </c>
      <c r="G36" s="552" t="inlineStr">
        <is>
          <t>3-yil</t>
        </is>
      </c>
      <c r="I36" s="397" t="n"/>
      <c r="J36" s="203" t="n"/>
    </row>
    <row r="37">
      <c r="B37" s="550" t="n">
        <v>26</v>
      </c>
      <c r="C37" s="551" t="n">
        <v>3459660.88</v>
      </c>
      <c r="D37" s="551" t="n">
        <v>287887529.81</v>
      </c>
      <c r="E37" s="551" t="n">
        <v>3399050.56</v>
      </c>
      <c r="F37" s="551" t="n">
        <v>6858711.44</v>
      </c>
      <c r="G37" s="552" t="inlineStr">
        <is>
          <t>3-yil</t>
        </is>
      </c>
      <c r="I37" s="397" t="n"/>
      <c r="J37" s="203" t="n"/>
    </row>
    <row r="38">
      <c r="B38" s="550" t="n">
        <v>27</v>
      </c>
      <c r="C38" s="551" t="n">
        <v>3500023.59</v>
      </c>
      <c r="D38" s="551" t="n">
        <v>284387506.23</v>
      </c>
      <c r="E38" s="551" t="n">
        <v>3358687.85</v>
      </c>
      <c r="F38" s="551" t="n">
        <v>6858711.44</v>
      </c>
      <c r="G38" s="552" t="inlineStr">
        <is>
          <t>3-yil</t>
        </is>
      </c>
      <c r="I38" s="397" t="n"/>
      <c r="J38" s="203" t="n"/>
    </row>
    <row r="39">
      <c r="B39" s="550" t="n">
        <v>28</v>
      </c>
      <c r="C39" s="551" t="n">
        <v>3540857.2</v>
      </c>
      <c r="D39" s="551" t="n">
        <v>280846649.03</v>
      </c>
      <c r="E39" s="551" t="n">
        <v>3317854.24</v>
      </c>
      <c r="F39" s="551" t="n">
        <v>6858711.44</v>
      </c>
      <c r="G39" s="552" t="inlineStr">
        <is>
          <t>3-yil</t>
        </is>
      </c>
      <c r="I39" s="397" t="n"/>
      <c r="J39" s="203" t="n"/>
    </row>
    <row r="40">
      <c r="B40" s="550" t="n">
        <v>29</v>
      </c>
      <c r="C40" s="551" t="n">
        <v>3582167.2</v>
      </c>
      <c r="D40" s="551" t="n">
        <v>277264481.83</v>
      </c>
      <c r="E40" s="551" t="n">
        <v>3276544.24</v>
      </c>
      <c r="F40" s="551" t="n">
        <v>6858711.44</v>
      </c>
      <c r="G40" s="552" t="inlineStr">
        <is>
          <t>3-yil</t>
        </is>
      </c>
      <c r="I40" s="397" t="n"/>
      <c r="J40" s="203" t="n"/>
    </row>
    <row r="41">
      <c r="B41" s="550" t="n">
        <v>30</v>
      </c>
      <c r="C41" s="551" t="n">
        <v>3623959.15</v>
      </c>
      <c r="D41" s="551" t="n">
        <v>273640522.69</v>
      </c>
      <c r="E41" s="551" t="n">
        <v>3234752.29</v>
      </c>
      <c r="F41" s="551" t="n">
        <v>6858711.44</v>
      </c>
      <c r="G41" s="552" t="inlineStr">
        <is>
          <t>3-yil</t>
        </is>
      </c>
      <c r="I41" s="397" t="n"/>
      <c r="J41" s="203" t="n"/>
    </row>
    <row r="42">
      <c r="B42" s="550" t="n">
        <v>31</v>
      </c>
      <c r="C42" s="551" t="n">
        <v>3666238.67</v>
      </c>
      <c r="D42" s="551" t="n">
        <v>269974284.02</v>
      </c>
      <c r="E42" s="551" t="n">
        <v>3192472.76</v>
      </c>
      <c r="F42" s="551" t="n">
        <v>6858711.44</v>
      </c>
      <c r="G42" s="552" t="inlineStr">
        <is>
          <t>3-yil</t>
        </is>
      </c>
      <c r="I42" s="397" t="n"/>
      <c r="J42" s="203" t="n"/>
    </row>
    <row r="43">
      <c r="B43" s="550" t="n">
        <v>32</v>
      </c>
      <c r="C43" s="551" t="n">
        <v>3709011.46</v>
      </c>
      <c r="D43" s="551" t="n">
        <v>266265272.56</v>
      </c>
      <c r="E43" s="551" t="n">
        <v>3149699.98</v>
      </c>
      <c r="F43" s="551" t="n">
        <v>6858711.44</v>
      </c>
      <c r="G43" s="552" t="inlineStr">
        <is>
          <t>3-yil</t>
        </is>
      </c>
      <c r="I43" s="397" t="n"/>
      <c r="J43" s="203" t="n"/>
    </row>
    <row r="44">
      <c r="B44" s="550" t="n">
        <v>33</v>
      </c>
      <c r="C44" s="551" t="n">
        <v>3752283.26</v>
      </c>
      <c r="D44" s="551" t="n">
        <v>262512989.3</v>
      </c>
      <c r="E44" s="551" t="n">
        <v>3106428.18</v>
      </c>
      <c r="F44" s="551" t="n">
        <v>6858711.44</v>
      </c>
      <c r="G44" s="552" t="inlineStr">
        <is>
          <t>3-yil</t>
        </is>
      </c>
      <c r="I44" s="397" t="n"/>
      <c r="J44" s="203" t="n"/>
    </row>
    <row r="45">
      <c r="B45" s="550" t="n">
        <v>34</v>
      </c>
      <c r="C45" s="551" t="n">
        <v>3796059.89</v>
      </c>
      <c r="D45" s="551" t="n">
        <v>258716929.41</v>
      </c>
      <c r="E45" s="551" t="n">
        <v>3062651.54</v>
      </c>
      <c r="F45" s="551" t="n">
        <v>6858711.44</v>
      </c>
      <c r="G45" s="552" t="inlineStr">
        <is>
          <t>3-yil</t>
        </is>
      </c>
      <c r="I45" s="397" t="n"/>
      <c r="J45" s="203" t="n"/>
    </row>
    <row r="46">
      <c r="B46" s="550" t="n">
        <v>35</v>
      </c>
      <c r="C46" s="551" t="n">
        <v>3840347.26</v>
      </c>
      <c r="D46" s="551" t="n">
        <v>254876582.15</v>
      </c>
      <c r="E46" s="551" t="n">
        <v>3018364.18</v>
      </c>
      <c r="F46" s="551" t="n">
        <v>6858711.44</v>
      </c>
      <c r="G46" s="552" t="inlineStr">
        <is>
          <t>3-yil</t>
        </is>
      </c>
      <c r="I46" s="397" t="n"/>
      <c r="J46" s="203" t="n"/>
    </row>
    <row r="47">
      <c r="B47" s="550" t="n">
        <v>36</v>
      </c>
      <c r="C47" s="551" t="n">
        <v>3885151.31</v>
      </c>
      <c r="D47" s="551" t="n">
        <v>250991430.84</v>
      </c>
      <c r="E47" s="551" t="n">
        <v>2973560.13</v>
      </c>
      <c r="F47" s="551" t="n">
        <v>6858711.44</v>
      </c>
      <c r="G47" s="552" t="inlineStr">
        <is>
          <t>3-yil</t>
        </is>
      </c>
      <c r="I47" s="397" t="n"/>
      <c r="J47" s="203" t="n"/>
    </row>
    <row r="48">
      <c r="B48" s="550" t="n">
        <v>37</v>
      </c>
      <c r="C48" s="551" t="n">
        <v>3930478.08</v>
      </c>
      <c r="D48" s="551" t="n">
        <v>247060952.77</v>
      </c>
      <c r="E48" s="551" t="n">
        <v>2928233.36</v>
      </c>
      <c r="F48" s="551" t="n">
        <v>6858711.44</v>
      </c>
      <c r="G48" s="552" t="inlineStr">
        <is>
          <t>4-yil</t>
        </is>
      </c>
      <c r="I48" s="397" t="n"/>
      <c r="J48" s="203" t="n"/>
    </row>
    <row r="49">
      <c r="B49" s="550" t="n">
        <v>38</v>
      </c>
      <c r="C49" s="551" t="n">
        <v>3976333.65</v>
      </c>
      <c r="D49" s="551" t="n">
        <v>243084619.11</v>
      </c>
      <c r="E49" s="551" t="n">
        <v>2882377.78</v>
      </c>
      <c r="F49" s="551" t="n">
        <v>6858711.44</v>
      </c>
      <c r="G49" s="552" t="inlineStr">
        <is>
          <t>4-yil</t>
        </is>
      </c>
      <c r="I49" s="397" t="n"/>
      <c r="J49" s="203" t="n"/>
    </row>
    <row r="50">
      <c r="B50" s="550" t="n">
        <v>39</v>
      </c>
      <c r="C50" s="551" t="n">
        <v>4022724.21</v>
      </c>
      <c r="D50" s="551" t="n">
        <v>239061894.9</v>
      </c>
      <c r="E50" s="551" t="n">
        <v>2835987.22</v>
      </c>
      <c r="F50" s="551" t="n">
        <v>6858711.44</v>
      </c>
      <c r="G50" s="552" t="inlineStr">
        <is>
          <t>4-yil</t>
        </is>
      </c>
      <c r="I50" s="397" t="n"/>
      <c r="J50" s="203" t="n"/>
    </row>
    <row r="51">
      <c r="B51" s="550" t="n">
        <v>40</v>
      </c>
      <c r="C51" s="551" t="n">
        <v>4069655.99</v>
      </c>
      <c r="D51" s="551" t="n">
        <v>234992238.91</v>
      </c>
      <c r="E51" s="551" t="n">
        <v>2789055.44</v>
      </c>
      <c r="F51" s="551" t="n">
        <v>6858711.44</v>
      </c>
      <c r="G51" s="552" t="inlineStr">
        <is>
          <t>4-yil</t>
        </is>
      </c>
      <c r="I51" s="397" t="n"/>
      <c r="J51" s="203" t="n"/>
    </row>
    <row r="52">
      <c r="B52" s="550" t="n">
        <v>41</v>
      </c>
      <c r="C52" s="551" t="n">
        <v>4117135.31</v>
      </c>
      <c r="D52" s="551" t="n">
        <v>230875103.59</v>
      </c>
      <c r="E52" s="551" t="n">
        <v>2741576.12</v>
      </c>
      <c r="F52" s="551" t="n">
        <v>6858711.44</v>
      </c>
      <c r="G52" s="552" t="inlineStr">
        <is>
          <t>4-yil</t>
        </is>
      </c>
      <c r="I52" s="397" t="n"/>
      <c r="J52" s="203" t="n"/>
    </row>
    <row r="53">
      <c r="B53" s="550" t="n">
        <v>42</v>
      </c>
      <c r="C53" s="551" t="n">
        <v>4165168.56</v>
      </c>
      <c r="D53" s="551" t="n">
        <v>226709935.03</v>
      </c>
      <c r="E53" s="551" t="n">
        <v>2693542.88</v>
      </c>
      <c r="F53" s="551" t="n">
        <v>6858711.44</v>
      </c>
      <c r="G53" s="552" t="inlineStr">
        <is>
          <t>4-yil</t>
        </is>
      </c>
      <c r="I53" s="397" t="n"/>
      <c r="J53" s="203" t="n"/>
    </row>
    <row r="54">
      <c r="B54" s="550" t="n">
        <v>43</v>
      </c>
      <c r="C54" s="551" t="n">
        <v>4213762.19</v>
      </c>
      <c r="D54" s="551" t="n">
        <v>222496172.84</v>
      </c>
      <c r="E54" s="551" t="n">
        <v>2644949.24</v>
      </c>
      <c r="F54" s="551" t="n">
        <v>6858711.44</v>
      </c>
      <c r="G54" s="552" t="inlineStr">
        <is>
          <t>4-yil</t>
        </is>
      </c>
      <c r="I54" s="397" t="n"/>
      <c r="J54" s="203" t="n"/>
    </row>
    <row r="55">
      <c r="B55" s="550" t="n">
        <v>44</v>
      </c>
      <c r="C55" s="551" t="n">
        <v>4262922.75</v>
      </c>
      <c r="D55" s="551" t="n">
        <v>218233250.09</v>
      </c>
      <c r="E55" s="551" t="n">
        <v>2595788.68</v>
      </c>
      <c r="F55" s="551" t="n">
        <v>6858711.44</v>
      </c>
      <c r="G55" s="552" t="inlineStr">
        <is>
          <t>4-yil</t>
        </is>
      </c>
      <c r="I55" s="397" t="n"/>
      <c r="J55" s="203" t="n"/>
    </row>
    <row r="56">
      <c r="B56" s="550" t="n">
        <v>45</v>
      </c>
      <c r="C56" s="551" t="n">
        <v>4312656.85</v>
      </c>
      <c r="D56" s="551" t="n">
        <v>213920593.23</v>
      </c>
      <c r="E56" s="551" t="n">
        <v>2546054.58</v>
      </c>
      <c r="F56" s="551" t="n">
        <v>6858711.44</v>
      </c>
      <c r="G56" s="552" t="inlineStr">
        <is>
          <t>4-yil</t>
        </is>
      </c>
      <c r="I56" s="397" t="n"/>
      <c r="J56" s="203" t="n"/>
    </row>
    <row r="57">
      <c r="B57" s="550" t="n">
        <v>46</v>
      </c>
      <c r="C57" s="551" t="n">
        <v>4362971.18</v>
      </c>
      <c r="D57" s="551" t="n">
        <v>209557622.05</v>
      </c>
      <c r="E57" s="551" t="n">
        <v>2495740.25</v>
      </c>
      <c r="F57" s="551" t="n">
        <v>6858711.44</v>
      </c>
      <c r="G57" s="552" t="inlineStr">
        <is>
          <t>4-yil</t>
        </is>
      </c>
      <c r="I57" s="397" t="n"/>
      <c r="J57" s="203" t="n"/>
    </row>
    <row r="58">
      <c r="B58" s="550" t="n">
        <v>47</v>
      </c>
      <c r="C58" s="551" t="n">
        <v>4413872.51</v>
      </c>
      <c r="D58" s="551" t="n">
        <v>205143749.54</v>
      </c>
      <c r="E58" s="551" t="n">
        <v>2444838.92</v>
      </c>
      <c r="F58" s="551" t="n">
        <v>6858711.44</v>
      </c>
      <c r="G58" s="552" t="inlineStr">
        <is>
          <t>4-yil</t>
        </is>
      </c>
      <c r="I58" s="397" t="n"/>
      <c r="J58" s="203" t="n"/>
    </row>
    <row r="59">
      <c r="B59" s="550" t="n">
        <v>48</v>
      </c>
      <c r="C59" s="551" t="n">
        <v>4465367.69</v>
      </c>
      <c r="D59" s="551" t="n">
        <v>200678381.85</v>
      </c>
      <c r="E59" s="551" t="n">
        <v>2393343.74</v>
      </c>
      <c r="F59" s="551" t="n">
        <v>6858711.44</v>
      </c>
      <c r="G59" s="552" t="inlineStr">
        <is>
          <t>4-yil</t>
        </is>
      </c>
      <c r="I59" s="397" t="n"/>
      <c r="J59" s="203" t="n"/>
    </row>
    <row r="60">
      <c r="B60" s="550" t="n">
        <v>49</v>
      </c>
      <c r="C60" s="551" t="n">
        <v>4517463.65</v>
      </c>
      <c r="D60" s="551" t="n">
        <v>196160918.2</v>
      </c>
      <c r="E60" s="551" t="n">
        <v>2341247.79</v>
      </c>
      <c r="F60" s="551" t="n">
        <v>6858711.44</v>
      </c>
      <c r="G60" s="552" t="inlineStr">
        <is>
          <t>5-yil</t>
        </is>
      </c>
      <c r="I60" s="397" t="n"/>
      <c r="J60" s="203" t="n"/>
    </row>
    <row r="61">
      <c r="B61" s="550" t="n">
        <v>50</v>
      </c>
      <c r="C61" s="551" t="n">
        <v>4570167.39</v>
      </c>
      <c r="D61" s="551" t="n">
        <v>191590750.82</v>
      </c>
      <c r="E61" s="551" t="n">
        <v>2288544.05</v>
      </c>
      <c r="F61" s="551" t="n">
        <v>6858711.44</v>
      </c>
      <c r="G61" s="552" t="inlineStr">
        <is>
          <t>5-yil</t>
        </is>
      </c>
      <c r="I61" s="397" t="n"/>
      <c r="J61" s="203" t="n"/>
    </row>
    <row r="62">
      <c r="B62" s="550" t="n">
        <v>51</v>
      </c>
      <c r="C62" s="551" t="n">
        <v>4623486.01</v>
      </c>
      <c r="D62" s="551" t="n">
        <v>186967264.81</v>
      </c>
      <c r="E62" s="551" t="n">
        <v>2235225.43</v>
      </c>
      <c r="F62" s="551" t="n">
        <v>6858711.44</v>
      </c>
      <c r="G62" s="552" t="inlineStr">
        <is>
          <t>5-yil</t>
        </is>
      </c>
      <c r="I62" s="397" t="n"/>
      <c r="J62" s="203" t="n"/>
    </row>
    <row r="63">
      <c r="B63" s="550" t="n">
        <v>52</v>
      </c>
      <c r="C63" s="551" t="n">
        <v>4677426.68</v>
      </c>
      <c r="D63" s="551" t="n">
        <v>182289838.13</v>
      </c>
      <c r="E63" s="551" t="n">
        <v>2181284.76</v>
      </c>
      <c r="F63" s="551" t="n">
        <v>6858711.44</v>
      </c>
      <c r="G63" s="552" t="inlineStr">
        <is>
          <t>5-yil</t>
        </is>
      </c>
      <c r="I63" s="397" t="n"/>
      <c r="J63" s="203" t="n"/>
    </row>
    <row r="64">
      <c r="B64" s="550" t="n">
        <v>53</v>
      </c>
      <c r="C64" s="551" t="n">
        <v>4731996.66</v>
      </c>
      <c r="D64" s="551" t="n">
        <v>177557841.47</v>
      </c>
      <c r="E64" s="551" t="n">
        <v>2126714.78</v>
      </c>
      <c r="F64" s="551" t="n">
        <v>6858711.44</v>
      </c>
      <c r="G64" s="552" t="inlineStr">
        <is>
          <t>5-yil</t>
        </is>
      </c>
      <c r="I64" s="397" t="n"/>
      <c r="J64" s="203" t="n"/>
    </row>
    <row r="65">
      <c r="B65" s="550" t="n">
        <v>54</v>
      </c>
      <c r="C65" s="551" t="n">
        <v>4787203.28</v>
      </c>
      <c r="D65" s="551" t="n">
        <v>172770638.18</v>
      </c>
      <c r="E65" s="551" t="n">
        <v>2071508.15</v>
      </c>
      <c r="F65" s="551" t="n">
        <v>6858711.44</v>
      </c>
      <c r="G65" s="552" t="inlineStr">
        <is>
          <t>5-yil</t>
        </is>
      </c>
      <c r="I65" s="397" t="n"/>
      <c r="J65" s="203" t="n"/>
    </row>
    <row r="66">
      <c r="B66" s="550" t="n">
        <v>55</v>
      </c>
      <c r="C66" s="551" t="n">
        <v>4843053.99</v>
      </c>
      <c r="D66" s="551" t="n">
        <v>167927584.19</v>
      </c>
      <c r="E66" s="551" t="n">
        <v>2015657.45</v>
      </c>
      <c r="F66" s="551" t="n">
        <v>6858711.44</v>
      </c>
      <c r="G66" s="552" t="inlineStr">
        <is>
          <t>5-yil</t>
        </is>
      </c>
      <c r="I66" s="397" t="n"/>
      <c r="J66" s="203" t="n"/>
    </row>
    <row r="67">
      <c r="B67" s="550" t="n">
        <v>56</v>
      </c>
      <c r="C67" s="551" t="n">
        <v>4899556.29</v>
      </c>
      <c r="D67" s="551" t="n">
        <v>163028027.91</v>
      </c>
      <c r="E67" s="551" t="n">
        <v>1959155.15</v>
      </c>
      <c r="F67" s="551" t="n">
        <v>6858711.44</v>
      </c>
      <c r="G67" s="552" t="inlineStr">
        <is>
          <t>5-yil</t>
        </is>
      </c>
      <c r="I67" s="397" t="n"/>
      <c r="J67" s="203" t="n"/>
    </row>
    <row r="68">
      <c r="B68" s="550" t="n">
        <v>57</v>
      </c>
      <c r="C68" s="551" t="n">
        <v>4956717.78</v>
      </c>
      <c r="D68" s="551" t="n">
        <v>158071310.13</v>
      </c>
      <c r="E68" s="551" t="n">
        <v>1901993.66</v>
      </c>
      <c r="F68" s="551" t="n">
        <v>6858711.44</v>
      </c>
      <c r="G68" s="552" t="inlineStr">
        <is>
          <t>5-yil</t>
        </is>
      </c>
      <c r="I68" s="397" t="n"/>
      <c r="J68" s="203" t="n"/>
    </row>
    <row r="69">
      <c r="B69" s="550" t="n">
        <v>58</v>
      </c>
      <c r="C69" s="551" t="n">
        <v>5014546.15</v>
      </c>
      <c r="D69" s="551" t="n">
        <v>153056763.98</v>
      </c>
      <c r="E69" s="551" t="n">
        <v>1844165.28</v>
      </c>
      <c r="F69" s="551" t="n">
        <v>6858711.44</v>
      </c>
      <c r="G69" s="552" t="inlineStr">
        <is>
          <t>5-yil</t>
        </is>
      </c>
      <c r="I69" s="397" t="n"/>
      <c r="J69" s="203" t="n"/>
    </row>
    <row r="70">
      <c r="B70" s="550" t="n">
        <v>59</v>
      </c>
      <c r="C70" s="551" t="n">
        <v>5073049.19</v>
      </c>
      <c r="D70" s="551" t="n">
        <v>147983714.79</v>
      </c>
      <c r="E70" s="551" t="n">
        <v>1785662.25</v>
      </c>
      <c r="F70" s="551" t="n">
        <v>6858711.44</v>
      </c>
      <c r="G70" s="552" t="inlineStr">
        <is>
          <t>5-yil</t>
        </is>
      </c>
      <c r="I70" s="397" t="n"/>
      <c r="J70" s="203" t="n"/>
    </row>
    <row r="71">
      <c r="B71" s="550" t="n">
        <v>60</v>
      </c>
      <c r="C71" s="551" t="n">
        <v>5132234.76</v>
      </c>
      <c r="D71" s="551" t="n">
        <v>142851480.03</v>
      </c>
      <c r="E71" s="551" t="n">
        <v>1726476.67</v>
      </c>
      <c r="F71" s="551" t="n">
        <v>6858711.44</v>
      </c>
      <c r="G71" s="552" t="inlineStr">
        <is>
          <t>5-yil</t>
        </is>
      </c>
      <c r="I71" s="397" t="n"/>
      <c r="J71" s="203" t="n"/>
    </row>
    <row r="72">
      <c r="B72" s="550" t="n">
        <v>61</v>
      </c>
      <c r="C72" s="551" t="n">
        <v>5192110.84</v>
      </c>
      <c r="D72" s="551" t="n">
        <v>137659369.19</v>
      </c>
      <c r="E72" s="551" t="n">
        <v>1666600.6</v>
      </c>
      <c r="F72" s="551" t="n">
        <v>6858711.44</v>
      </c>
      <c r="G72" s="552" t="inlineStr">
        <is>
          <t>6-yil</t>
        </is>
      </c>
      <c r="I72" s="397" t="n"/>
      <c r="J72" s="203" t="n"/>
    </row>
    <row r="73">
      <c r="B73" s="550" t="n">
        <v>62</v>
      </c>
      <c r="C73" s="551" t="n">
        <v>5252685.46</v>
      </c>
      <c r="D73" s="551" t="n">
        <v>132406683.73</v>
      </c>
      <c r="E73" s="551" t="n">
        <v>1606025.97</v>
      </c>
      <c r="F73" s="551" t="n">
        <v>6858711.44</v>
      </c>
      <c r="G73" s="552" t="inlineStr">
        <is>
          <t>6-yil</t>
        </is>
      </c>
      <c r="I73" s="397" t="n"/>
      <c r="J73" s="203" t="n"/>
    </row>
    <row r="74">
      <c r="B74" s="550" t="n">
        <v>63</v>
      </c>
      <c r="C74" s="551" t="n">
        <v>5313966.79</v>
      </c>
      <c r="D74" s="551" t="n">
        <v>127092716.94</v>
      </c>
      <c r="E74" s="551" t="n">
        <v>1544744.64</v>
      </c>
      <c r="F74" s="551" t="n">
        <v>6858711.44</v>
      </c>
      <c r="G74" s="552" t="inlineStr">
        <is>
          <t>6-yil</t>
        </is>
      </c>
      <c r="I74" s="397" t="n"/>
      <c r="J74" s="203" t="n"/>
    </row>
    <row r="75">
      <c r="B75" s="550" t="n">
        <v>64</v>
      </c>
      <c r="C75" s="551" t="n">
        <v>5375963.07</v>
      </c>
      <c r="D75" s="551" t="n">
        <v>121716753.87</v>
      </c>
      <c r="E75" s="551" t="n">
        <v>1482748.36</v>
      </c>
      <c r="F75" s="551" t="n">
        <v>6858711.44</v>
      </c>
      <c r="G75" s="552" t="inlineStr">
        <is>
          <t>6-yil</t>
        </is>
      </c>
      <c r="I75" s="397" t="n"/>
      <c r="J75" s="203" t="n"/>
    </row>
    <row r="76">
      <c r="B76" s="550" t="n">
        <v>65</v>
      </c>
      <c r="C76" s="551" t="n">
        <v>5438682.64</v>
      </c>
      <c r="D76" s="551" t="n">
        <v>116278071.23</v>
      </c>
      <c r="E76" s="551" t="n">
        <v>1420028.8</v>
      </c>
      <c r="F76" s="551" t="n">
        <v>6858711.44</v>
      </c>
      <c r="G76" s="552" t="inlineStr">
        <is>
          <t>6-yil</t>
        </is>
      </c>
      <c r="I76" s="397" t="n"/>
      <c r="J76" s="203" t="n"/>
    </row>
    <row r="77">
      <c r="B77" s="550" t="n">
        <v>66</v>
      </c>
      <c r="C77" s="551" t="n">
        <v>5502133.94</v>
      </c>
      <c r="D77" s="551" t="n">
        <v>110775937.29</v>
      </c>
      <c r="E77" s="551" t="n">
        <v>1356577.5</v>
      </c>
      <c r="F77" s="551" t="n">
        <v>6858711.44</v>
      </c>
      <c r="G77" s="552" t="inlineStr">
        <is>
          <t>6-yil</t>
        </is>
      </c>
      <c r="I77" s="397" t="n"/>
      <c r="J77" s="203" t="n"/>
    </row>
    <row r="78">
      <c r="B78" s="550" t="n">
        <v>67</v>
      </c>
      <c r="C78" s="551" t="n">
        <v>5566325.5</v>
      </c>
      <c r="D78" s="551" t="n">
        <v>105209611.79</v>
      </c>
      <c r="E78" s="551" t="n">
        <v>1292385.94</v>
      </c>
      <c r="F78" s="551" t="n">
        <v>6858711.44</v>
      </c>
      <c r="G78" s="552" t="inlineStr">
        <is>
          <t>6-yil</t>
        </is>
      </c>
      <c r="I78" s="397" t="n"/>
      <c r="J78" s="203" t="n"/>
    </row>
    <row r="79">
      <c r="B79" s="550" t="n">
        <v>68</v>
      </c>
      <c r="C79" s="551" t="n">
        <v>5631265.96</v>
      </c>
      <c r="D79" s="551" t="n">
        <v>99578345.83</v>
      </c>
      <c r="E79" s="551" t="n">
        <v>1227445.47</v>
      </c>
      <c r="F79" s="551" t="n">
        <v>6858711.44</v>
      </c>
      <c r="G79" s="552" t="inlineStr">
        <is>
          <t>6-yil</t>
        </is>
      </c>
      <c r="I79" s="397" t="n"/>
      <c r="J79" s="203" t="n"/>
    </row>
    <row r="80">
      <c r="B80" s="550" t="n">
        <v>69</v>
      </c>
      <c r="C80" s="551" t="n">
        <v>5696964.07</v>
      </c>
      <c r="D80" s="551" t="n">
        <v>93881381.76000001</v>
      </c>
      <c r="E80" s="551" t="n">
        <v>1161747.37</v>
      </c>
      <c r="F80" s="551" t="n">
        <v>6858711.44</v>
      </c>
      <c r="G80" s="552" t="inlineStr">
        <is>
          <t>6-yil</t>
        </is>
      </c>
      <c r="I80" s="397" t="n"/>
      <c r="J80" s="203" t="n"/>
    </row>
    <row r="81">
      <c r="B81" s="550" t="n">
        <v>70</v>
      </c>
      <c r="C81" s="551" t="n">
        <v>5763428.65</v>
      </c>
      <c r="D81" s="551" t="n">
        <v>88117953.11</v>
      </c>
      <c r="E81" s="551" t="n">
        <v>1095282.79</v>
      </c>
      <c r="F81" s="551" t="n">
        <v>6858711.44</v>
      </c>
      <c r="G81" s="552" t="inlineStr">
        <is>
          <t>6-yil</t>
        </is>
      </c>
      <c r="I81" s="397" t="n"/>
      <c r="J81" s="203" t="n"/>
    </row>
    <row r="82">
      <c r="B82" s="550" t="n">
        <v>71</v>
      </c>
      <c r="C82" s="551" t="n">
        <v>5830668.65</v>
      </c>
      <c r="D82" s="551" t="n">
        <v>82287284.45999999</v>
      </c>
      <c r="E82" s="551" t="n">
        <v>1028042.79</v>
      </c>
      <c r="F82" s="551" t="n">
        <v>6858711.44</v>
      </c>
      <c r="G82" s="552" t="inlineStr">
        <is>
          <t>6-yil</t>
        </is>
      </c>
      <c r="I82" s="397" t="n"/>
      <c r="J82" s="203" t="n"/>
    </row>
    <row r="83" outlineLevel="1" s="532">
      <c r="B83" s="550" t="n">
        <v>72</v>
      </c>
      <c r="C83" s="551" t="n">
        <v>5898693.12</v>
      </c>
      <c r="D83" s="551" t="n">
        <v>76388591.34999999</v>
      </c>
      <c r="E83" s="551" t="n">
        <v>960018.3199999999</v>
      </c>
      <c r="F83" s="551" t="n">
        <v>6858711.44</v>
      </c>
      <c r="G83" s="552" t="inlineStr">
        <is>
          <t>6-yil</t>
        </is>
      </c>
      <c r="I83" s="397" t="n"/>
      <c r="J83" s="203" t="n"/>
    </row>
    <row r="84" outlineLevel="1" s="532">
      <c r="B84" s="550" t="n">
        <v>73</v>
      </c>
      <c r="C84" s="551" t="n">
        <v>5967511.2</v>
      </c>
      <c r="D84" s="551" t="n">
        <v>70421080.14</v>
      </c>
      <c r="E84" s="551" t="n">
        <v>891200.23</v>
      </c>
      <c r="F84" s="551" t="n">
        <v>6858711.44</v>
      </c>
      <c r="G84" s="552" t="inlineStr">
        <is>
          <t>7-yil</t>
        </is>
      </c>
      <c r="I84" s="397" t="n"/>
      <c r="J84" s="203" t="n"/>
    </row>
    <row r="85" outlineLevel="1" s="532">
      <c r="B85" s="550" t="n">
        <v>74</v>
      </c>
      <c r="C85" s="551" t="n">
        <v>6037132.17</v>
      </c>
      <c r="D85" s="551" t="n">
        <v>64383947.98</v>
      </c>
      <c r="E85" s="551" t="n">
        <v>821579.27</v>
      </c>
      <c r="F85" s="551" t="n">
        <v>6858711.44</v>
      </c>
      <c r="G85" s="552" t="inlineStr">
        <is>
          <t>7-yil</t>
        </is>
      </c>
      <c r="I85" s="397" t="n"/>
      <c r="J85" s="203" t="n"/>
    </row>
    <row r="86" outlineLevel="1" s="532">
      <c r="B86" s="550" t="n">
        <v>75</v>
      </c>
      <c r="C86" s="551" t="n">
        <v>6107565.38</v>
      </c>
      <c r="D86" s="551" t="n">
        <v>58276382.6</v>
      </c>
      <c r="E86" s="551" t="n">
        <v>751146.0600000001</v>
      </c>
      <c r="F86" s="551" t="n">
        <v>6858711.44</v>
      </c>
      <c r="G86" s="552" t="inlineStr">
        <is>
          <t>7-yil</t>
        </is>
      </c>
      <c r="I86" s="397" t="n"/>
      <c r="J86" s="203" t="n"/>
    </row>
    <row r="87" outlineLevel="1" s="532">
      <c r="B87" s="550" t="n">
        <v>76</v>
      </c>
      <c r="C87" s="551" t="n">
        <v>6178820.31</v>
      </c>
      <c r="D87" s="551" t="n">
        <v>52097562.3</v>
      </c>
      <c r="E87" s="551" t="n">
        <v>679891.13</v>
      </c>
      <c r="F87" s="551" t="n">
        <v>6858711.44</v>
      </c>
      <c r="G87" s="552" t="inlineStr">
        <is>
          <t>7-yil</t>
        </is>
      </c>
      <c r="I87" s="397" t="n"/>
      <c r="J87" s="203" t="n"/>
    </row>
    <row r="88" outlineLevel="1" s="532">
      <c r="B88" s="550" t="n">
        <v>77</v>
      </c>
      <c r="C88" s="551" t="n">
        <v>6250906.54</v>
      </c>
      <c r="D88" s="551" t="n">
        <v>45846655.75</v>
      </c>
      <c r="E88" s="551" t="n">
        <v>607804.89</v>
      </c>
      <c r="F88" s="551" t="n">
        <v>6858711.44</v>
      </c>
      <c r="G88" s="552" t="inlineStr">
        <is>
          <t>7-yil</t>
        </is>
      </c>
      <c r="I88" s="397" t="n"/>
      <c r="J88" s="203" t="n"/>
    </row>
    <row r="89" outlineLevel="1" s="532">
      <c r="B89" s="550" t="n">
        <v>78</v>
      </c>
      <c r="C89" s="551" t="n">
        <v>6323833.78</v>
      </c>
      <c r="D89" s="551" t="n">
        <v>39522821.97</v>
      </c>
      <c r="E89" s="551" t="n">
        <v>534877.65</v>
      </c>
      <c r="F89" s="551" t="n">
        <v>6858711.44</v>
      </c>
      <c r="G89" s="552" t="inlineStr">
        <is>
          <t>7-yil</t>
        </is>
      </c>
      <c r="I89" s="397" t="n"/>
      <c r="J89" s="203" t="n"/>
    </row>
    <row r="90" outlineLevel="1" s="532">
      <c r="B90" s="550" t="n">
        <v>79</v>
      </c>
      <c r="C90" s="551" t="n">
        <v>6397611.85</v>
      </c>
      <c r="D90" s="551" t="n">
        <v>33125210.12</v>
      </c>
      <c r="E90" s="551" t="n">
        <v>461099.59</v>
      </c>
      <c r="F90" s="551" t="n">
        <v>6858711.44</v>
      </c>
      <c r="G90" s="552" t="inlineStr">
        <is>
          <t>7-yil</t>
        </is>
      </c>
      <c r="I90" s="397" t="n"/>
      <c r="J90" s="203" t="n"/>
    </row>
    <row r="91" outlineLevel="1" s="532">
      <c r="B91" s="550" t="n">
        <v>80</v>
      </c>
      <c r="C91" s="551" t="n">
        <v>6472250.65</v>
      </c>
      <c r="D91" s="551" t="n">
        <v>26652959.47</v>
      </c>
      <c r="E91" s="551" t="n">
        <v>386460.78</v>
      </c>
      <c r="F91" s="551" t="n">
        <v>6858711.44</v>
      </c>
      <c r="G91" s="552" t="inlineStr">
        <is>
          <t>7-yil</t>
        </is>
      </c>
      <c r="I91" s="397" t="n"/>
      <c r="J91" s="203" t="n"/>
    </row>
    <row r="92" outlineLevel="1" s="532">
      <c r="B92" s="550" t="n">
        <v>81</v>
      </c>
      <c r="C92" s="551" t="n">
        <v>6547760.24</v>
      </c>
      <c r="D92" s="551" t="n">
        <v>20105199.23</v>
      </c>
      <c r="E92" s="551" t="n">
        <v>310951.19</v>
      </c>
      <c r="F92" s="551" t="n">
        <v>6858711.44</v>
      </c>
      <c r="G92" s="552" t="inlineStr">
        <is>
          <t>7-yil</t>
        </is>
      </c>
      <c r="I92" s="397" t="n"/>
      <c r="J92" s="203" t="n"/>
    </row>
    <row r="93" outlineLevel="1" s="532">
      <c r="B93" s="550" t="n">
        <v>82</v>
      </c>
      <c r="C93" s="551" t="n">
        <v>6624150.78</v>
      </c>
      <c r="D93" s="551" t="n">
        <v>13481048.45</v>
      </c>
      <c r="E93" s="551" t="n">
        <v>234560.66</v>
      </c>
      <c r="F93" s="551" t="n">
        <v>6858711.44</v>
      </c>
      <c r="G93" s="552" t="inlineStr">
        <is>
          <t>7-yil</t>
        </is>
      </c>
      <c r="I93" s="397" t="n"/>
      <c r="J93" s="203" t="n"/>
    </row>
    <row r="94" outlineLevel="1" s="532">
      <c r="B94" s="550" t="n">
        <v>83</v>
      </c>
      <c r="C94" s="551" t="n">
        <v>6701432.54</v>
      </c>
      <c r="D94" s="551" t="n">
        <v>6779615.92</v>
      </c>
      <c r="E94" s="551" t="n">
        <v>157278.9</v>
      </c>
      <c r="F94" s="551" t="n">
        <v>6858711.44</v>
      </c>
      <c r="G94" s="552" t="inlineStr">
        <is>
          <t>7-yil</t>
        </is>
      </c>
      <c r="I94" s="397" t="n"/>
      <c r="J94" s="203" t="n"/>
    </row>
    <row r="95" outlineLevel="1" s="532">
      <c r="B95" s="550" t="n">
        <v>84</v>
      </c>
      <c r="C95" s="551" t="n">
        <v>6779615.92</v>
      </c>
      <c r="D95" s="553" t="n">
        <v>0</v>
      </c>
      <c r="E95" s="551" t="n">
        <v>79095.52</v>
      </c>
      <c r="F95" s="551" t="n">
        <v>6858711.44</v>
      </c>
      <c r="G95" s="552" t="inlineStr">
        <is>
          <t>7-yil</t>
        </is>
      </c>
      <c r="I95" s="397" t="n"/>
      <c r="J95" s="203" t="n"/>
    </row>
    <row r="96" outlineLevel="1" customFormat="1" s="11">
      <c r="B96" s="554" t="inlineStr">
        <is>
          <t>JAMI</t>
        </is>
      </c>
      <c r="C96" s="398" t="n"/>
      <c r="D96" s="555" t="n">
        <v>350000000</v>
      </c>
      <c r="E96" s="555" t="n">
        <v>0</v>
      </c>
      <c r="F96" s="555" t="n">
        <v>209479491.95889</v>
      </c>
      <c r="G96" s="555" t="n">
        <v>559479491.9588889</v>
      </c>
      <c r="H96" s="555" t="inlineStr"/>
      <c r="I96" s="397" t="n"/>
      <c r="J96" s="203" t="n"/>
      <c r="K96" s="2" t="n"/>
    </row>
  </sheetData>
  <mergeCells count="1">
    <mergeCell ref="B2:F2"/>
  </mergeCells>
  <printOptions horizontalCentered="1" verticalCentered="1"/>
  <pageMargins left="0.3937007874015748" right="0.3937007874015748" top="0.5511811023622047" bottom="0.7874015748031497" header="0.5118110236220472" footer="0.5118110236220472"/>
  <pageSetup orientation="portrait" paperSize="9" scale="80" fitToHeight="0"/>
</worksheet>
</file>

<file path=xl/worksheets/sheet9.xml><?xml version="1.0" encoding="utf-8"?>
<worksheet xmlns="http://schemas.openxmlformats.org/spreadsheetml/2006/main">
  <sheetPr codeName="Лист8">
    <outlinePr summaryBelow="1" summaryRight="1"/>
    <pageSetUpPr fitToPage="1"/>
  </sheetPr>
  <dimension ref="B1:K17"/>
  <sheetViews>
    <sheetView showGridLines="0" view="pageBreakPreview" zoomScale="84" zoomScaleNormal="75" zoomScaleSheetLayoutView="84" workbookViewId="0">
      <selection activeCell="D26" sqref="D26"/>
    </sheetView>
  </sheetViews>
  <sheetFormatPr baseColWidth="8" defaultRowHeight="15.75"/>
  <cols>
    <col width="26.625" bestFit="1" customWidth="1" style="532" min="2" max="2"/>
    <col width="9.125" customWidth="1" style="532" min="3" max="3"/>
    <col width="22.75" bestFit="1" customWidth="1" style="532" min="4" max="4"/>
    <col width="16.25" customWidth="1" style="532" min="5" max="5"/>
    <col width="15.25" customWidth="1" style="532" min="6" max="8"/>
    <col width="18.25" customWidth="1" style="532" min="9" max="9"/>
    <col width="14.75" customWidth="1" style="532" min="10" max="10"/>
    <col width="15.25" customWidth="1" style="532" min="11" max="11"/>
  </cols>
  <sheetData>
    <row r="1">
      <c r="G1" s="531" t="inlineStr">
        <is>
          <t>7-ILOVA</t>
        </is>
      </c>
    </row>
    <row r="2" ht="21" customHeight="1" s="532" thickBot="1">
      <c r="B2" s="274" t="inlineStr">
        <is>
          <t>SOLIQ VA BOJLAR</t>
        </is>
      </c>
      <c r="C2" s="4" t="n"/>
      <c r="D2" s="4" t="n"/>
      <c r="E2" s="4" t="n"/>
      <c r="F2" s="528" t="n"/>
      <c r="G2" s="533" t="n"/>
      <c r="H2" s="533" t="n"/>
      <c r="I2" s="533" t="n"/>
      <c r="J2" s="533" t="n"/>
      <c r="K2" s="533" t="n"/>
    </row>
    <row r="3" ht="33" customHeight="1" s="532" thickTop="1">
      <c r="B3" s="129" t="inlineStr">
        <is>
          <t>Soliqlar va chegirmalar turlari</t>
        </is>
      </c>
      <c r="C3" s="130" t="inlineStr">
        <is>
          <t>Soliq stavkasi</t>
        </is>
      </c>
      <c r="D3" s="130" t="inlineStr">
        <is>
          <t>Soliq solish obyekti</t>
        </is>
      </c>
      <c r="E3" s="131">
        <f>Depreciate!E4</f>
        <v/>
      </c>
      <c r="F3" s="131">
        <f>Depreciate!F4</f>
        <v/>
      </c>
      <c r="G3" s="131">
        <f>Depreciate!G4</f>
        <v/>
      </c>
      <c r="H3" s="185">
        <f>Depreciate!H4</f>
        <v/>
      </c>
      <c r="I3" s="185">
        <f>ProdPlan!G23</f>
        <v/>
      </c>
      <c r="J3" s="185">
        <f>ProdPlan!H23</f>
        <v/>
      </c>
      <c r="K3" s="185">
        <f>ProdPlan!I23</f>
        <v/>
      </c>
    </row>
    <row r="4" hidden="1" ht="30" customHeight="1" s="532">
      <c r="B4" s="132" t="inlineStr">
        <is>
          <t>Налог на имущество</t>
        </is>
      </c>
      <c r="C4" s="402" t="n">
        <v>0.035</v>
      </c>
      <c r="D4" s="1" t="inlineStr">
        <is>
          <t>от среднегодовой стоимости имущества</t>
        </is>
      </c>
      <c r="E4" s="403" t="n">
        <v>50400000</v>
      </c>
      <c r="F4" s="403" t="n">
        <v>54000000</v>
      </c>
      <c r="G4" s="403" t="n">
        <v>57600000</v>
      </c>
      <c r="H4" s="404" t="n">
        <v>61200000</v>
      </c>
      <c r="I4" s="404" t="n">
        <v>64800000</v>
      </c>
      <c r="J4" s="404" t="n">
        <v>68400000</v>
      </c>
      <c r="K4" s="404" t="n">
        <v>72000000</v>
      </c>
    </row>
    <row r="5" hidden="1" s="532">
      <c r="B5" s="133" t="n"/>
      <c r="C5" s="405" t="n"/>
      <c r="D5" s="258" t="n"/>
      <c r="E5" s="406" t="n"/>
      <c r="F5" s="406" t="n"/>
      <c r="G5" s="406" t="n"/>
      <c r="H5" s="407" t="n"/>
      <c r="I5" s="407" t="n"/>
      <c r="J5" s="407" t="n"/>
      <c r="K5" s="407" t="n"/>
    </row>
    <row r="6" hidden="1" ht="0.75" customHeight="1" s="532">
      <c r="B6" s="134" t="inlineStr">
        <is>
          <t>Земельный налог</t>
        </is>
      </c>
      <c r="C6" s="405" t="n"/>
      <c r="D6" s="258" t="inlineStr">
        <is>
          <t>исходя из занимаемой площади</t>
        </is>
      </c>
      <c r="E6" s="408" t="inlineStr">
        <is>
          <t>х</t>
        </is>
      </c>
      <c r="F6" s="406" t="n">
        <v>0</v>
      </c>
      <c r="G6" s="406" t="n">
        <v>0</v>
      </c>
      <c r="H6" s="407" t="n">
        <v>0</v>
      </c>
      <c r="I6" s="407" t="n">
        <v>0</v>
      </c>
      <c r="J6" s="407" t="n">
        <v>0</v>
      </c>
      <c r="K6" s="407" t="n">
        <v>0</v>
      </c>
    </row>
    <row r="7" hidden="1" s="532">
      <c r="B7" s="134" t="inlineStr">
        <is>
          <t>Налог на недра</t>
        </is>
      </c>
      <c r="C7" s="405" t="n"/>
      <c r="D7" s="258" t="n"/>
      <c r="E7" s="406" t="n"/>
      <c r="F7" s="406" t="n"/>
      <c r="G7" s="406" t="n"/>
      <c r="H7" s="407" t="n"/>
      <c r="I7" s="407" t="n"/>
      <c r="J7" s="407" t="n"/>
      <c r="K7" s="407" t="n"/>
    </row>
    <row r="8" hidden="1" s="532">
      <c r="B8" s="530" t="inlineStr">
        <is>
          <t>Налоги включаемые в себестоимость</t>
        </is>
      </c>
      <c r="C8" s="522" t="n"/>
      <c r="D8" s="523" t="n"/>
      <c r="E8" s="409" t="n">
        <v>50400000</v>
      </c>
      <c r="F8" s="409" t="n">
        <v>54000000</v>
      </c>
      <c r="G8" s="409" t="n">
        <v>57600000</v>
      </c>
      <c r="H8" s="410" t="n">
        <v>61200000</v>
      </c>
      <c r="I8" s="410" t="n">
        <v>64800000</v>
      </c>
      <c r="J8" s="410" t="n">
        <v>68400000</v>
      </c>
      <c r="K8" s="410" t="n">
        <v>72000000</v>
      </c>
    </row>
    <row r="9" hidden="1" s="532">
      <c r="B9" s="134" t="inlineStr">
        <is>
          <t>Отчисления в ЕДФ</t>
        </is>
      </c>
      <c r="C9" s="405" t="n">
        <v>0.01</v>
      </c>
      <c r="D9" s="258" t="inlineStr">
        <is>
          <t>от объема реализации</t>
        </is>
      </c>
      <c r="E9" s="406" t="n"/>
      <c r="F9" s="406" t="n"/>
      <c r="G9" s="406" t="n"/>
      <c r="H9" s="407" t="n"/>
      <c r="I9" s="407" t="n"/>
      <c r="J9" s="407" t="n"/>
      <c r="K9" s="407" t="n"/>
    </row>
    <row r="10" hidden="1" s="532">
      <c r="B10" s="134" t="inlineStr">
        <is>
          <t>Отчисления в пенс. Фонд</t>
        </is>
      </c>
      <c r="C10" s="405" t="n">
        <v>0.007</v>
      </c>
      <c r="D10" s="258" t="inlineStr">
        <is>
          <t>от объема реализации</t>
        </is>
      </c>
      <c r="E10" s="406" t="n"/>
      <c r="F10" s="406" t="n"/>
      <c r="G10" s="406" t="n"/>
      <c r="H10" s="407" t="n"/>
      <c r="I10" s="407" t="n"/>
      <c r="J10" s="407" t="n"/>
      <c r="K10" s="407" t="n"/>
    </row>
    <row r="11" hidden="1" s="532">
      <c r="B11" s="135" t="inlineStr">
        <is>
          <t>Экологический налог</t>
        </is>
      </c>
      <c r="C11" s="411" t="n">
        <v>0.01</v>
      </c>
      <c r="D11" s="9" t="inlineStr">
        <is>
          <t>от себестоимости</t>
        </is>
      </c>
      <c r="E11" s="406" t="n">
        <v>0</v>
      </c>
      <c r="F11" s="406" t="n">
        <v>0</v>
      </c>
      <c r="G11" s="406" t="n">
        <v>0</v>
      </c>
      <c r="H11" s="407" t="n"/>
      <c r="I11" s="407" t="n"/>
      <c r="J11" s="407" t="n"/>
      <c r="K11" s="407" t="n"/>
    </row>
    <row r="12" hidden="1" ht="1.5" customFormat="1" customHeight="1" s="11">
      <c r="B12" s="530" t="inlineStr">
        <is>
          <t xml:space="preserve">Налоги и сборы вкл. в расходы периода </t>
        </is>
      </c>
      <c r="C12" s="522" t="n"/>
      <c r="D12" s="523" t="n"/>
      <c r="E12" s="409" t="n"/>
      <c r="F12" s="409" t="n"/>
      <c r="G12" s="409" t="n"/>
      <c r="H12" s="410" t="n"/>
      <c r="I12" s="410" t="n"/>
      <c r="J12" s="410" t="n"/>
      <c r="K12" s="410" t="n"/>
    </row>
    <row r="13" ht="30" customFormat="1" customHeight="1" s="11" thickBot="1">
      <c r="B13" s="133" t="inlineStr">
        <is>
          <t xml:space="preserve">Yagona soliq to'lovi </t>
        </is>
      </c>
      <c r="C13" s="412" t="n">
        <v>0.04</v>
      </c>
      <c r="D13" s="125" t="inlineStr">
        <is>
          <t>sotishdan tushgan daromad</t>
        </is>
      </c>
      <c r="E13" s="406">
        <f>4%*ProfLoss!C6</f>
        <v/>
      </c>
      <c r="F13" s="406">
        <f>4%*ProfLoss!D6</f>
        <v/>
      </c>
      <c r="G13" s="406">
        <f>4%*ProfLoss!E6</f>
        <v/>
      </c>
      <c r="H13" s="406">
        <f>4%*ProfLoss!F6</f>
        <v/>
      </c>
      <c r="I13" s="406">
        <f>4%*ProfLoss!G6</f>
        <v/>
      </c>
      <c r="J13" s="406">
        <f>4%*ProfLoss!H6</f>
        <v/>
      </c>
      <c r="K13" s="406">
        <f>4%*ProfLoss!I6</f>
        <v/>
      </c>
    </row>
    <row r="14" hidden="1" ht="16.5" customHeight="1" s="532" thickBot="1">
      <c r="B14" s="136" t="inlineStr">
        <is>
          <t>Акцизный налог</t>
        </is>
      </c>
      <c r="C14" s="413" t="inlineStr">
        <is>
          <t>х</t>
        </is>
      </c>
      <c r="D14" s="16" t="inlineStr">
        <is>
          <t>от выручки</t>
        </is>
      </c>
      <c r="E14" s="414" t="n">
        <v>0</v>
      </c>
      <c r="F14" s="414" t="n">
        <v>0</v>
      </c>
      <c r="G14" s="414" t="n">
        <v>0</v>
      </c>
      <c r="H14" s="415" t="n">
        <v>0</v>
      </c>
      <c r="I14" s="415" t="n">
        <v>0</v>
      </c>
      <c r="J14" s="415" t="n">
        <v>0</v>
      </c>
      <c r="K14" s="415" t="n">
        <v>0</v>
      </c>
    </row>
    <row r="15" hidden="1" ht="16.5" customHeight="1" s="532" thickBot="1">
      <c r="B15" s="137" t="inlineStr">
        <is>
          <t>НДС</t>
        </is>
      </c>
      <c r="C15" s="413" t="n">
        <v>0.2</v>
      </c>
      <c r="D15" s="16" t="inlineStr">
        <is>
          <t>от выручки</t>
        </is>
      </c>
      <c r="E15" s="414" t="n">
        <v>0</v>
      </c>
      <c r="F15" s="414" t="n">
        <v>0</v>
      </c>
      <c r="G15" s="414" t="n">
        <v>0</v>
      </c>
      <c r="H15" s="415" t="n">
        <v>0</v>
      </c>
      <c r="I15" s="415" t="n">
        <v>0</v>
      </c>
      <c r="J15" s="415" t="n">
        <v>0</v>
      </c>
      <c r="K15" s="415" t="n">
        <v>0</v>
      </c>
    </row>
    <row r="16" hidden="1" ht="16.5" customHeight="1" s="532" thickBot="1">
      <c r="B16" s="137" t="inlineStr">
        <is>
          <t>Другие местные налоги и сборы</t>
        </is>
      </c>
      <c r="C16" s="413" t="n">
        <v>0.08</v>
      </c>
      <c r="D16" s="16" t="inlineStr">
        <is>
          <t>от прибыли</t>
        </is>
      </c>
      <c r="E16" s="414" t="n">
        <v>0</v>
      </c>
      <c r="F16" s="414" t="n">
        <v>0</v>
      </c>
      <c r="G16" s="414" t="n">
        <v>0</v>
      </c>
      <c r="H16" s="415" t="n">
        <v>0</v>
      </c>
      <c r="I16" s="415" t="n">
        <v>0</v>
      </c>
      <c r="J16" s="415" t="n">
        <v>0</v>
      </c>
      <c r="K16" s="415" t="n">
        <v>0</v>
      </c>
    </row>
    <row r="17" ht="21" customHeight="1" s="532" thickBot="1">
      <c r="B17" s="138" t="inlineStr">
        <is>
          <t>JAMIY SOLIQ VA BOJLARI</t>
        </is>
      </c>
      <c r="C17" s="139" t="n"/>
      <c r="D17" s="140" t="n"/>
      <c r="E17" s="416">
        <f>E8+E13</f>
        <v/>
      </c>
      <c r="F17" s="416">
        <f>F8+F13</f>
        <v/>
      </c>
      <c r="G17" s="416">
        <f>G8+G13</f>
        <v/>
      </c>
      <c r="H17" s="417">
        <f>H8+H13</f>
        <v/>
      </c>
      <c r="I17" s="417">
        <f>I8+I13</f>
        <v/>
      </c>
      <c r="J17" s="417">
        <f>J8+J13</f>
        <v/>
      </c>
      <c r="K17" s="417">
        <f>K8+K13</f>
        <v/>
      </c>
    </row>
    <row r="18" ht="16.5" customHeight="1" s="532" thickTop="1"/>
  </sheetData>
  <mergeCells count="3">
    <mergeCell ref="B12:D12"/>
    <mergeCell ref="G1:K2"/>
    <mergeCell ref="B8:D8"/>
  </mergeCells>
  <printOptions horizontalCentered="1" verticalCentered="1"/>
  <pageMargins left="0.3937007874015748" right="0.3937007874015748" top="0.984251968503937" bottom="0.984251968503937" header="0.5118110236220472" footer="0.5118110236220472"/>
  <pageSetup orientation="landscape" paperSize="9" scale="7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B1:J97"/>
  <sheetViews>
    <sheetView topLeftCell="A4" workbookViewId="0">
      <selection activeCell="D12" sqref="D12"/>
    </sheetView>
  </sheetViews>
  <sheetFormatPr baseColWidth="8" defaultRowHeight="15.75" outlineLevelRow="1"/>
  <cols>
    <col width="11.375" customWidth="1" style="528" min="2" max="2"/>
    <col width="22.25" customWidth="1" style="528" min="3" max="3"/>
    <col width="18.125" customWidth="1" style="528" min="4" max="4"/>
    <col width="17.125" bestFit="1" customWidth="1" style="528" min="5" max="5"/>
    <col width="17" bestFit="1" customWidth="1" style="528" min="6" max="6"/>
    <col width="9" customWidth="1" style="528" min="7" max="10"/>
  </cols>
  <sheetData>
    <row r="1">
      <c r="B1" s="3" t="n"/>
      <c r="C1" s="4" t="n"/>
      <c r="D1" s="4" t="n"/>
      <c r="F1" s="325" t="inlineStr">
        <is>
          <t>ПРИЛОЖЕНИЕ 9</t>
        </is>
      </c>
    </row>
    <row r="2" ht="21" customHeight="1" s="532" thickBot="1">
      <c r="B2" s="526" t="inlineStr">
        <is>
          <t xml:space="preserve">                ВЫПЛАТЫ ПО ДОЛГОСРОЧНОМУ КРЕДИТУ</t>
        </is>
      </c>
      <c r="G2" s="7" t="n"/>
    </row>
    <row r="3" ht="16.5" customHeight="1" s="532" thickTop="1">
      <c r="C3" s="109" t="inlineStr">
        <is>
          <t xml:space="preserve">Срок кредита </t>
        </is>
      </c>
      <c r="D3" s="110" t="inlineStr">
        <is>
          <t>7 лет</t>
        </is>
      </c>
    </row>
    <row r="4">
      <c r="C4" s="122" t="inlineStr">
        <is>
          <t xml:space="preserve"> Инвестиционный период</t>
        </is>
      </c>
      <c r="D4" s="120" t="inlineStr">
        <is>
          <t>0 месяц</t>
        </is>
      </c>
    </row>
    <row r="5">
      <c r="C5" s="5" t="inlineStr">
        <is>
          <t>Льготный период</t>
        </is>
      </c>
      <c r="D5" s="120" t="inlineStr">
        <is>
          <t>24 месяц</t>
        </is>
      </c>
    </row>
    <row r="6">
      <c r="C6" s="5" t="inlineStr">
        <is>
          <t>Процентная ставка</t>
        </is>
      </c>
      <c r="D6" s="418" t="n">
        <v>0.055</v>
      </c>
    </row>
    <row r="7">
      <c r="C7" s="5" t="inlineStr">
        <is>
          <t>Периодичность выплат</t>
        </is>
      </c>
      <c r="D7" s="111" t="inlineStr">
        <is>
          <t>ежемесячно</t>
        </is>
      </c>
    </row>
    <row r="8" ht="16.5" customHeight="1" s="532" thickBot="1">
      <c r="C8" s="6" t="inlineStr">
        <is>
          <t>сумма кредита (евро)</t>
        </is>
      </c>
      <c r="D8" s="419">
        <f>'Share of Costs'!F6</f>
        <v/>
      </c>
      <c r="F8" s="390" t="n"/>
    </row>
    <row r="9" ht="16.9" customHeight="1" s="532" thickBot="1" thickTop="1"/>
    <row r="10" ht="52.9" customHeight="1" s="532" thickTop="1">
      <c r="B10" s="537" t="inlineStr">
        <is>
          <t>ПЕРИОДЫ ВЫПЛАТ</t>
        </is>
      </c>
      <c r="C10" s="535" t="inlineStr">
        <is>
          <t>ПОГАШЕНИЕ ОСНОВНОГО ДОЛГА</t>
        </is>
      </c>
      <c r="D10" s="535" t="inlineStr">
        <is>
          <t>ОСТАТОК ССУДНОЙ ЗАДОЛЖЕННОСТИ</t>
        </is>
      </c>
      <c r="E10" s="535" t="inlineStr">
        <is>
          <t>ВЫПЛАТЫ ПРОЦЕНТОВ</t>
        </is>
      </c>
      <c r="F10" s="116" t="inlineStr">
        <is>
          <t>ВСЕГО ВЫПЛАТ</t>
        </is>
      </c>
    </row>
    <row r="11">
      <c r="B11" s="8" t="inlineStr">
        <is>
          <t>1 мес</t>
        </is>
      </c>
      <c r="C11" s="420" t="n">
        <v>0</v>
      </c>
      <c r="D11" s="420">
        <f>D8</f>
        <v/>
      </c>
      <c r="E11" s="420" t="n">
        <v>0</v>
      </c>
      <c r="F11" s="421">
        <f>C11+E11</f>
        <v/>
      </c>
      <c r="G11" s="528" t="inlineStr">
        <is>
          <t>1год</t>
        </is>
      </c>
    </row>
    <row r="12">
      <c r="B12" s="100" t="inlineStr">
        <is>
          <t>2 мес</t>
        </is>
      </c>
      <c r="C12" s="422" t="n">
        <v>0</v>
      </c>
      <c r="D12" s="423">
        <f>+D11-C11</f>
        <v/>
      </c>
      <c r="E12" s="424" t="n">
        <v>0</v>
      </c>
      <c r="F12" s="425">
        <f>C12+E12</f>
        <v/>
      </c>
      <c r="G12" s="528" t="inlineStr">
        <is>
          <t>1год</t>
        </is>
      </c>
    </row>
    <row r="13">
      <c r="B13" s="100" t="inlineStr">
        <is>
          <t>3 мес</t>
        </is>
      </c>
      <c r="C13" s="422" t="n">
        <v>0</v>
      </c>
      <c r="D13" s="423">
        <f>+D12-C12</f>
        <v/>
      </c>
      <c r="E13" s="424" t="n">
        <v>0</v>
      </c>
      <c r="F13" s="425">
        <f>C13+E13</f>
        <v/>
      </c>
      <c r="G13" s="528" t="inlineStr">
        <is>
          <t>1год</t>
        </is>
      </c>
    </row>
    <row r="14">
      <c r="B14" s="100" t="inlineStr">
        <is>
          <t>4 мес</t>
        </is>
      </c>
      <c r="C14" s="422" t="n">
        <v>0</v>
      </c>
      <c r="D14" s="423">
        <f>+D13-C13</f>
        <v/>
      </c>
      <c r="E14" s="424" t="n">
        <v>0</v>
      </c>
      <c r="F14" s="425">
        <f>C14+E14</f>
        <v/>
      </c>
      <c r="G14" s="528" t="inlineStr">
        <is>
          <t>1год</t>
        </is>
      </c>
    </row>
    <row r="15">
      <c r="B15" s="100" t="inlineStr">
        <is>
          <t>5 мес</t>
        </is>
      </c>
      <c r="C15" s="422" t="n">
        <v>0</v>
      </c>
      <c r="D15" s="423">
        <f>+D14-C14</f>
        <v/>
      </c>
      <c r="E15" s="424" t="n">
        <v>0</v>
      </c>
      <c r="F15" s="425">
        <f>C15+E15</f>
        <v/>
      </c>
      <c r="G15" s="528" t="inlineStr">
        <is>
          <t>1год</t>
        </is>
      </c>
    </row>
    <row r="16">
      <c r="B16" s="100" t="inlineStr">
        <is>
          <t>6 мес</t>
        </is>
      </c>
      <c r="C16" s="422" t="n">
        <v>0</v>
      </c>
      <c r="D16" s="423">
        <f>+D15-C15</f>
        <v/>
      </c>
      <c r="E16" s="424">
        <f>(D16*$D$6/2)</f>
        <v/>
      </c>
      <c r="F16" s="425">
        <f>C16+E16</f>
        <v/>
      </c>
      <c r="G16" s="528" t="inlineStr">
        <is>
          <t>1год</t>
        </is>
      </c>
    </row>
    <row r="17">
      <c r="B17" s="100" t="inlineStr">
        <is>
          <t>7 мес</t>
        </is>
      </c>
      <c r="C17" s="422" t="n">
        <v>0</v>
      </c>
      <c r="D17" s="423">
        <f>+D16-C16</f>
        <v/>
      </c>
      <c r="E17" s="424" t="n">
        <v>0</v>
      </c>
      <c r="F17" s="425">
        <f>C17+E17</f>
        <v/>
      </c>
      <c r="G17" s="528" t="inlineStr">
        <is>
          <t>1год</t>
        </is>
      </c>
    </row>
    <row r="18" outlineLevel="1" s="532">
      <c r="B18" s="100" t="inlineStr">
        <is>
          <t>8 мес</t>
        </is>
      </c>
      <c r="C18" s="422" t="n">
        <v>0</v>
      </c>
      <c r="D18" s="423">
        <f>+D17-C17</f>
        <v/>
      </c>
      <c r="E18" s="424" t="n">
        <v>0</v>
      </c>
      <c r="F18" s="425">
        <f>C18+E18</f>
        <v/>
      </c>
      <c r="G18" s="528" t="inlineStr">
        <is>
          <t>1год</t>
        </is>
      </c>
    </row>
    <row r="19" outlineLevel="1" s="532">
      <c r="B19" s="100" t="inlineStr">
        <is>
          <t>9 мес</t>
        </is>
      </c>
      <c r="C19" s="422" t="n">
        <v>0</v>
      </c>
      <c r="D19" s="423">
        <f>+D18-C18</f>
        <v/>
      </c>
      <c r="E19" s="424" t="n">
        <v>0</v>
      </c>
      <c r="F19" s="425">
        <f>C19+E19</f>
        <v/>
      </c>
      <c r="G19" s="528" t="inlineStr">
        <is>
          <t>1год</t>
        </is>
      </c>
    </row>
    <row r="20" outlineLevel="1" s="532">
      <c r="B20" s="100" t="inlineStr">
        <is>
          <t>10 мес</t>
        </is>
      </c>
      <c r="C20" s="422" t="n">
        <v>0</v>
      </c>
      <c r="D20" s="423">
        <f>+D19-C19</f>
        <v/>
      </c>
      <c r="E20" s="424" t="n">
        <v>0</v>
      </c>
      <c r="F20" s="425">
        <f>C20+E20</f>
        <v/>
      </c>
      <c r="G20" s="528" t="inlineStr">
        <is>
          <t>1год</t>
        </is>
      </c>
    </row>
    <row r="21" outlineLevel="1" s="532">
      <c r="B21" s="100" t="inlineStr">
        <is>
          <t>11 мес</t>
        </is>
      </c>
      <c r="C21" s="422">
        <f>C20</f>
        <v/>
      </c>
      <c r="D21" s="423">
        <f>+D20-C20</f>
        <v/>
      </c>
      <c r="E21" s="424" t="n">
        <v>0</v>
      </c>
      <c r="F21" s="425">
        <f>C21+E21</f>
        <v/>
      </c>
      <c r="G21" s="528" t="inlineStr">
        <is>
          <t>1год</t>
        </is>
      </c>
    </row>
    <row r="22" outlineLevel="1" s="532">
      <c r="B22" s="100" t="inlineStr">
        <is>
          <t>12 мес</t>
        </is>
      </c>
      <c r="C22" s="422">
        <f>C21</f>
        <v/>
      </c>
      <c r="D22" s="423">
        <f>+D21-C21</f>
        <v/>
      </c>
      <c r="E22" s="424">
        <f>(D22*$D$6/2)</f>
        <v/>
      </c>
      <c r="F22" s="425">
        <f>C22+E22</f>
        <v/>
      </c>
      <c r="G22" s="528" t="inlineStr">
        <is>
          <t>1год</t>
        </is>
      </c>
    </row>
    <row r="23" outlineLevel="1" s="532">
      <c r="B23" s="100" t="inlineStr">
        <is>
          <t>13 мес</t>
        </is>
      </c>
      <c r="C23" s="422">
        <f>C22</f>
        <v/>
      </c>
      <c r="D23" s="423">
        <f>+D22-C22</f>
        <v/>
      </c>
      <c r="E23" s="424" t="n">
        <v>0</v>
      </c>
      <c r="F23" s="425">
        <f>C23+E23</f>
        <v/>
      </c>
      <c r="G23" s="528" t="inlineStr">
        <is>
          <t>2год</t>
        </is>
      </c>
    </row>
    <row r="24" outlineLevel="1" s="532">
      <c r="B24" s="100" t="inlineStr">
        <is>
          <t>14 мес</t>
        </is>
      </c>
      <c r="C24" s="422">
        <f>C23</f>
        <v/>
      </c>
      <c r="D24" s="423">
        <f>+D23-C23</f>
        <v/>
      </c>
      <c r="E24" s="424" t="n">
        <v>0</v>
      </c>
      <c r="F24" s="425">
        <f>C24+E24</f>
        <v/>
      </c>
      <c r="G24" s="528" t="inlineStr">
        <is>
          <t>2год</t>
        </is>
      </c>
    </row>
    <row r="25" outlineLevel="1" s="532">
      <c r="B25" s="100" t="inlineStr">
        <is>
          <t>15 мес</t>
        </is>
      </c>
      <c r="C25" s="422">
        <f>C24</f>
        <v/>
      </c>
      <c r="D25" s="423">
        <f>+D24-C24</f>
        <v/>
      </c>
      <c r="E25" s="424" t="n">
        <v>0</v>
      </c>
      <c r="F25" s="425">
        <f>C25+E25</f>
        <v/>
      </c>
      <c r="G25" s="528" t="inlineStr">
        <is>
          <t>2год</t>
        </is>
      </c>
    </row>
    <row r="26" outlineLevel="1" s="532">
      <c r="B26" s="100" t="inlineStr">
        <is>
          <t>16 мес</t>
        </is>
      </c>
      <c r="C26" s="422">
        <f>C25</f>
        <v/>
      </c>
      <c r="D26" s="423">
        <f>+D25-C25</f>
        <v/>
      </c>
      <c r="E26" s="424" t="n">
        <v>0</v>
      </c>
      <c r="F26" s="425">
        <f>C26+E26</f>
        <v/>
      </c>
      <c r="G26" s="528" t="inlineStr">
        <is>
          <t>2год</t>
        </is>
      </c>
    </row>
    <row r="27" outlineLevel="1" s="532">
      <c r="B27" s="100" t="inlineStr">
        <is>
          <t>17 мес</t>
        </is>
      </c>
      <c r="C27" s="422">
        <f>C26</f>
        <v/>
      </c>
      <c r="D27" s="423">
        <f>+D26-C26</f>
        <v/>
      </c>
      <c r="E27" s="424" t="n">
        <v>0</v>
      </c>
      <c r="F27" s="425">
        <f>C27+E27</f>
        <v/>
      </c>
      <c r="G27" s="528" t="inlineStr">
        <is>
          <t>2год</t>
        </is>
      </c>
    </row>
    <row r="28" outlineLevel="1" s="532">
      <c r="B28" s="100" t="inlineStr">
        <is>
          <t>18 мес</t>
        </is>
      </c>
      <c r="C28" s="422">
        <f>C27</f>
        <v/>
      </c>
      <c r="D28" s="423">
        <f>+D27-C27</f>
        <v/>
      </c>
      <c r="E28" s="424">
        <f>(D28*$D$6/2)</f>
        <v/>
      </c>
      <c r="F28" s="425">
        <f>C28+E28</f>
        <v/>
      </c>
      <c r="G28" s="528" t="inlineStr">
        <is>
          <t>2год</t>
        </is>
      </c>
    </row>
    <row r="29" outlineLevel="1" s="532">
      <c r="B29" s="100" t="inlineStr">
        <is>
          <t>19 мес</t>
        </is>
      </c>
      <c r="C29" s="422">
        <f>C28</f>
        <v/>
      </c>
      <c r="D29" s="423">
        <f>+D28-C28</f>
        <v/>
      </c>
      <c r="E29" s="424" t="n">
        <v>0</v>
      </c>
      <c r="F29" s="425">
        <f>C29+E29</f>
        <v/>
      </c>
      <c r="G29" s="528" t="inlineStr">
        <is>
          <t>2год</t>
        </is>
      </c>
    </row>
    <row r="30" outlineLevel="1" s="532">
      <c r="B30" s="100" t="inlineStr">
        <is>
          <t>20 мес</t>
        </is>
      </c>
      <c r="C30" s="422">
        <f>C29</f>
        <v/>
      </c>
      <c r="D30" s="423">
        <f>+D29-C29</f>
        <v/>
      </c>
      <c r="E30" s="424" t="n">
        <v>0</v>
      </c>
      <c r="F30" s="425">
        <f>C30+E30</f>
        <v/>
      </c>
      <c r="G30" s="528" t="inlineStr">
        <is>
          <t>2год</t>
        </is>
      </c>
    </row>
    <row r="31" outlineLevel="1" s="532">
      <c r="B31" s="100" t="inlineStr">
        <is>
          <t>21 мес</t>
        </is>
      </c>
      <c r="C31" s="422">
        <f>C30</f>
        <v/>
      </c>
      <c r="D31" s="423">
        <f>+D30-C30</f>
        <v/>
      </c>
      <c r="E31" s="424" t="n">
        <v>0</v>
      </c>
      <c r="F31" s="425">
        <f>C31+E31</f>
        <v/>
      </c>
      <c r="G31" s="528" t="inlineStr">
        <is>
          <t>2год</t>
        </is>
      </c>
    </row>
    <row r="32" outlineLevel="1" s="532">
      <c r="B32" s="100" t="inlineStr">
        <is>
          <t>22 мес</t>
        </is>
      </c>
      <c r="C32" s="422">
        <f>C31</f>
        <v/>
      </c>
      <c r="D32" s="423">
        <f>+D31-C31</f>
        <v/>
      </c>
      <c r="E32" s="424" t="n">
        <v>0</v>
      </c>
      <c r="F32" s="425">
        <f>C32+E32</f>
        <v/>
      </c>
      <c r="G32" s="528" t="inlineStr">
        <is>
          <t>2год</t>
        </is>
      </c>
    </row>
    <row r="33" outlineLevel="1" s="532">
      <c r="B33" s="100" t="inlineStr">
        <is>
          <t>23 мес</t>
        </is>
      </c>
      <c r="C33" s="422">
        <f>C32</f>
        <v/>
      </c>
      <c r="D33" s="423">
        <f>+D32-C32</f>
        <v/>
      </c>
      <c r="E33" s="424" t="n">
        <v>0</v>
      </c>
      <c r="F33" s="425">
        <f>C33+E33</f>
        <v/>
      </c>
      <c r="G33" s="528" t="inlineStr">
        <is>
          <t>2год</t>
        </is>
      </c>
    </row>
    <row r="34" outlineLevel="1" s="532">
      <c r="B34" s="100" t="inlineStr">
        <is>
          <t>24 мес</t>
        </is>
      </c>
      <c r="C34" s="422">
        <f>D8/11</f>
        <v/>
      </c>
      <c r="D34" s="423">
        <f>+D33-C33</f>
        <v/>
      </c>
      <c r="E34" s="424">
        <f>(D34*$D$6/2)</f>
        <v/>
      </c>
      <c r="F34" s="425">
        <f>C34+E34</f>
        <v/>
      </c>
      <c r="G34" s="528" t="inlineStr">
        <is>
          <t>2год</t>
        </is>
      </c>
    </row>
    <row r="35" outlineLevel="1" s="532">
      <c r="B35" s="100" t="inlineStr">
        <is>
          <t>25 мес</t>
        </is>
      </c>
      <c r="C35" s="422" t="n">
        <v>0</v>
      </c>
      <c r="D35" s="423">
        <f>+D34-C34</f>
        <v/>
      </c>
      <c r="E35" s="424" t="n">
        <v>0</v>
      </c>
      <c r="F35" s="425">
        <f>C35+E35</f>
        <v/>
      </c>
      <c r="G35" s="528" t="inlineStr">
        <is>
          <t>3год</t>
        </is>
      </c>
    </row>
    <row r="36" outlineLevel="1" s="532">
      <c r="B36" s="100" t="inlineStr">
        <is>
          <t>26 мес</t>
        </is>
      </c>
      <c r="C36" s="422">
        <f>C35</f>
        <v/>
      </c>
      <c r="D36" s="423">
        <f>+D35-C35</f>
        <v/>
      </c>
      <c r="E36" s="424" t="n">
        <v>0</v>
      </c>
      <c r="F36" s="425">
        <f>C36+E36</f>
        <v/>
      </c>
      <c r="G36" s="528" t="inlineStr">
        <is>
          <t>3год</t>
        </is>
      </c>
    </row>
    <row r="37" outlineLevel="1" s="532">
      <c r="B37" s="100" t="inlineStr">
        <is>
          <t>27 мес</t>
        </is>
      </c>
      <c r="C37" s="422">
        <f>C36</f>
        <v/>
      </c>
      <c r="D37" s="423">
        <f>+D36-C36</f>
        <v/>
      </c>
      <c r="E37" s="424" t="n">
        <v>0</v>
      </c>
      <c r="F37" s="425">
        <f>C37+E37</f>
        <v/>
      </c>
      <c r="G37" s="528" t="inlineStr">
        <is>
          <t>3год</t>
        </is>
      </c>
    </row>
    <row r="38" outlineLevel="1" s="532">
      <c r="B38" s="100" t="inlineStr">
        <is>
          <t>28 мес</t>
        </is>
      </c>
      <c r="C38" s="422">
        <f>C37</f>
        <v/>
      </c>
      <c r="D38" s="423">
        <f>+D37-C37</f>
        <v/>
      </c>
      <c r="E38" s="424" t="n">
        <v>0</v>
      </c>
      <c r="F38" s="425">
        <f>C38+E38</f>
        <v/>
      </c>
      <c r="G38" s="528" t="inlineStr">
        <is>
          <t>3год</t>
        </is>
      </c>
    </row>
    <row r="39" outlineLevel="1" s="532">
      <c r="B39" s="100" t="inlineStr">
        <is>
          <t>29 мес</t>
        </is>
      </c>
      <c r="C39" s="422">
        <f>C38</f>
        <v/>
      </c>
      <c r="D39" s="423">
        <f>+D38-C38</f>
        <v/>
      </c>
      <c r="E39" s="424" t="n">
        <v>0</v>
      </c>
      <c r="F39" s="425">
        <f>C39+E39</f>
        <v/>
      </c>
      <c r="G39" s="528" t="inlineStr">
        <is>
          <t>3год</t>
        </is>
      </c>
    </row>
    <row r="40" outlineLevel="1" s="532">
      <c r="B40" s="100" t="inlineStr">
        <is>
          <t>30 мес</t>
        </is>
      </c>
      <c r="C40" s="422">
        <f>C34</f>
        <v/>
      </c>
      <c r="D40" s="423">
        <f>+D39-C39</f>
        <v/>
      </c>
      <c r="E40" s="424">
        <f>(D40*$D$6/2)</f>
        <v/>
      </c>
      <c r="F40" s="425">
        <f>C40+E40</f>
        <v/>
      </c>
      <c r="G40" s="528" t="inlineStr">
        <is>
          <t>3год</t>
        </is>
      </c>
    </row>
    <row r="41" outlineLevel="1" s="532">
      <c r="B41" s="100" t="inlineStr">
        <is>
          <t>31 мес</t>
        </is>
      </c>
      <c r="C41" s="422" t="n">
        <v>0</v>
      </c>
      <c r="D41" s="423">
        <f>+D40-C40</f>
        <v/>
      </c>
      <c r="E41" s="424" t="n">
        <v>0</v>
      </c>
      <c r="F41" s="425">
        <f>C41+E41</f>
        <v/>
      </c>
      <c r="G41" s="528" t="inlineStr">
        <is>
          <t>3год</t>
        </is>
      </c>
    </row>
    <row r="42" outlineLevel="1" s="532">
      <c r="B42" s="100" t="inlineStr">
        <is>
          <t>32 мес</t>
        </is>
      </c>
      <c r="C42" s="422">
        <f>C41</f>
        <v/>
      </c>
      <c r="D42" s="423">
        <f>+D41-C41</f>
        <v/>
      </c>
      <c r="E42" s="424" t="n">
        <v>0</v>
      </c>
      <c r="F42" s="425">
        <f>C42+E42</f>
        <v/>
      </c>
      <c r="G42" s="528" t="inlineStr">
        <is>
          <t>3год</t>
        </is>
      </c>
    </row>
    <row r="43" outlineLevel="1" s="532">
      <c r="B43" s="100" t="inlineStr">
        <is>
          <t>33 мес</t>
        </is>
      </c>
      <c r="C43" s="422">
        <f>C42</f>
        <v/>
      </c>
      <c r="D43" s="423">
        <f>+D42-C42</f>
        <v/>
      </c>
      <c r="E43" s="424" t="n">
        <v>0</v>
      </c>
      <c r="F43" s="425">
        <f>C43+E43</f>
        <v/>
      </c>
      <c r="G43" s="528" t="inlineStr">
        <is>
          <t>3год</t>
        </is>
      </c>
    </row>
    <row r="44" outlineLevel="1" s="532">
      <c r="B44" s="100" t="inlineStr">
        <is>
          <t>34 мес</t>
        </is>
      </c>
      <c r="C44" s="422">
        <f>C43</f>
        <v/>
      </c>
      <c r="D44" s="423">
        <f>+D43-C43</f>
        <v/>
      </c>
      <c r="E44" s="424" t="n">
        <v>0</v>
      </c>
      <c r="F44" s="425">
        <f>C44+E44</f>
        <v/>
      </c>
      <c r="G44" s="528" t="inlineStr">
        <is>
          <t>3год</t>
        </is>
      </c>
    </row>
    <row r="45" outlineLevel="1" s="532">
      <c r="B45" s="100" t="inlineStr">
        <is>
          <t>35 мес</t>
        </is>
      </c>
      <c r="C45" s="422">
        <f>C44</f>
        <v/>
      </c>
      <c r="D45" s="423">
        <f>+D44-C44</f>
        <v/>
      </c>
      <c r="E45" s="424" t="n">
        <v>0</v>
      </c>
      <c r="F45" s="425">
        <f>C45+E45</f>
        <v/>
      </c>
      <c r="G45" s="528" t="inlineStr">
        <is>
          <t>3год</t>
        </is>
      </c>
    </row>
    <row r="46" outlineLevel="1" ht="18.75" customHeight="1" s="532">
      <c r="B46" s="100" t="inlineStr">
        <is>
          <t>36 мес</t>
        </is>
      </c>
      <c r="C46" s="422">
        <f>C40</f>
        <v/>
      </c>
      <c r="D46" s="423">
        <f>+D45-C45</f>
        <v/>
      </c>
      <c r="E46" s="424">
        <f>(D46*$D$6/2)</f>
        <v/>
      </c>
      <c r="F46" s="425">
        <f>C46+E46</f>
        <v/>
      </c>
      <c r="G46" s="528" t="inlineStr">
        <is>
          <t>3год</t>
        </is>
      </c>
    </row>
    <row r="47" outlineLevel="1" ht="18.75" customHeight="1" s="532">
      <c r="B47" s="100" t="inlineStr">
        <is>
          <t>37 мес</t>
        </is>
      </c>
      <c r="C47" s="422" t="n">
        <v>0</v>
      </c>
      <c r="D47" s="423">
        <f>+D46-C46</f>
        <v/>
      </c>
      <c r="E47" s="424" t="n">
        <v>0</v>
      </c>
      <c r="F47" s="425">
        <f>C47+E47</f>
        <v/>
      </c>
      <c r="G47" s="528" t="inlineStr">
        <is>
          <t>4год</t>
        </is>
      </c>
    </row>
    <row r="48" outlineLevel="1" ht="18.75" customHeight="1" s="532">
      <c r="B48" s="100" t="inlineStr">
        <is>
          <t>38 мес</t>
        </is>
      </c>
      <c r="C48" s="422">
        <f>C47</f>
        <v/>
      </c>
      <c r="D48" s="423">
        <f>+D47-C47</f>
        <v/>
      </c>
      <c r="E48" s="424" t="n">
        <v>0</v>
      </c>
      <c r="F48" s="425">
        <f>C48+E48</f>
        <v/>
      </c>
      <c r="G48" s="528" t="inlineStr">
        <is>
          <t>4год</t>
        </is>
      </c>
    </row>
    <row r="49" outlineLevel="1" ht="18.75" customHeight="1" s="532">
      <c r="B49" s="100" t="inlineStr">
        <is>
          <t>39 мес</t>
        </is>
      </c>
      <c r="C49" s="422">
        <f>C48</f>
        <v/>
      </c>
      <c r="D49" s="423">
        <f>+D48-C48</f>
        <v/>
      </c>
      <c r="E49" s="424" t="n">
        <v>0</v>
      </c>
      <c r="F49" s="425">
        <f>C49+E49</f>
        <v/>
      </c>
      <c r="G49" s="528" t="inlineStr">
        <is>
          <t>4год</t>
        </is>
      </c>
    </row>
    <row r="50" outlineLevel="1" ht="18.75" customHeight="1" s="532">
      <c r="B50" s="100" t="inlineStr">
        <is>
          <t>40 мес</t>
        </is>
      </c>
      <c r="C50" s="422">
        <f>C49</f>
        <v/>
      </c>
      <c r="D50" s="423">
        <f>+D49-C49</f>
        <v/>
      </c>
      <c r="E50" s="424" t="n">
        <v>0</v>
      </c>
      <c r="F50" s="425">
        <f>C50+E50</f>
        <v/>
      </c>
      <c r="G50" s="528" t="inlineStr">
        <is>
          <t>4год</t>
        </is>
      </c>
    </row>
    <row r="51" outlineLevel="1" ht="18.75" customHeight="1" s="532">
      <c r="B51" s="100" t="inlineStr">
        <is>
          <t>41 мес</t>
        </is>
      </c>
      <c r="C51" s="422">
        <f>C50</f>
        <v/>
      </c>
      <c r="D51" s="423">
        <f>+D50-C50</f>
        <v/>
      </c>
      <c r="E51" s="424" t="n">
        <v>0</v>
      </c>
      <c r="F51" s="425">
        <f>C51+E51</f>
        <v/>
      </c>
      <c r="G51" s="528" t="inlineStr">
        <is>
          <t>4год</t>
        </is>
      </c>
    </row>
    <row r="52" outlineLevel="1" ht="18.75" customHeight="1" s="532">
      <c r="B52" s="100" t="inlineStr">
        <is>
          <t>42 мес</t>
        </is>
      </c>
      <c r="C52" s="422">
        <f>C46</f>
        <v/>
      </c>
      <c r="D52" s="423">
        <f>+D51-C51</f>
        <v/>
      </c>
      <c r="E52" s="424">
        <f>(D52*$D$6/2)</f>
        <v/>
      </c>
      <c r="F52" s="425">
        <f>C52+E52</f>
        <v/>
      </c>
      <c r="G52" s="528" t="inlineStr">
        <is>
          <t>4год</t>
        </is>
      </c>
    </row>
    <row r="53" outlineLevel="1" ht="18.75" customHeight="1" s="532">
      <c r="B53" s="100" t="inlineStr">
        <is>
          <t>43 мес</t>
        </is>
      </c>
      <c r="C53" s="422" t="n">
        <v>0</v>
      </c>
      <c r="D53" s="423">
        <f>+D52-C52</f>
        <v/>
      </c>
      <c r="E53" s="424" t="n">
        <v>0</v>
      </c>
      <c r="F53" s="425">
        <f>C53+E53</f>
        <v/>
      </c>
      <c r="G53" s="528" t="inlineStr">
        <is>
          <t>4год</t>
        </is>
      </c>
    </row>
    <row r="54" outlineLevel="1" ht="18.75" customHeight="1" s="532">
      <c r="B54" s="100" t="inlineStr">
        <is>
          <t>44 мес</t>
        </is>
      </c>
      <c r="C54" s="422">
        <f>C53</f>
        <v/>
      </c>
      <c r="D54" s="423">
        <f>+D53-C53</f>
        <v/>
      </c>
      <c r="E54" s="424" t="n">
        <v>0</v>
      </c>
      <c r="F54" s="425">
        <f>C54+E54</f>
        <v/>
      </c>
      <c r="G54" s="528" t="inlineStr">
        <is>
          <t>4год</t>
        </is>
      </c>
    </row>
    <row r="55" outlineLevel="1" ht="18.75" customHeight="1" s="532">
      <c r="B55" s="100" t="inlineStr">
        <is>
          <t>45 мес</t>
        </is>
      </c>
      <c r="C55" s="422">
        <f>C54</f>
        <v/>
      </c>
      <c r="D55" s="423">
        <f>+D54-C54</f>
        <v/>
      </c>
      <c r="E55" s="424" t="n">
        <v>0</v>
      </c>
      <c r="F55" s="425">
        <f>C55+E55</f>
        <v/>
      </c>
      <c r="G55" s="528" t="inlineStr">
        <is>
          <t>4год</t>
        </is>
      </c>
    </row>
    <row r="56" outlineLevel="1" ht="18.75" customHeight="1" s="532">
      <c r="B56" s="100" t="inlineStr">
        <is>
          <t>46 мес</t>
        </is>
      </c>
      <c r="C56" s="422">
        <f>C55</f>
        <v/>
      </c>
      <c r="D56" s="423">
        <f>+D55-C55</f>
        <v/>
      </c>
      <c r="E56" s="424" t="n">
        <v>0</v>
      </c>
      <c r="F56" s="425">
        <f>C56+E56</f>
        <v/>
      </c>
      <c r="G56" s="528" t="inlineStr">
        <is>
          <t>4год</t>
        </is>
      </c>
    </row>
    <row r="57" outlineLevel="1" ht="18.75" customHeight="1" s="532">
      <c r="B57" s="100" t="inlineStr">
        <is>
          <t>47 мес</t>
        </is>
      </c>
      <c r="C57" s="422">
        <f>C56</f>
        <v/>
      </c>
      <c r="D57" s="423">
        <f>+D56-C56</f>
        <v/>
      </c>
      <c r="E57" s="424" t="n">
        <v>0</v>
      </c>
      <c r="F57" s="425">
        <f>C57+E57</f>
        <v/>
      </c>
      <c r="G57" s="528" t="inlineStr">
        <is>
          <t>4год</t>
        </is>
      </c>
    </row>
    <row r="58" outlineLevel="1" ht="18.75" customHeight="1" s="532">
      <c r="B58" s="100" t="inlineStr">
        <is>
          <t>48 мес</t>
        </is>
      </c>
      <c r="C58" s="422">
        <f>C52</f>
        <v/>
      </c>
      <c r="D58" s="423">
        <f>+D57-C57</f>
        <v/>
      </c>
      <c r="E58" s="424">
        <f>(D58*$D$6/2)</f>
        <v/>
      </c>
      <c r="F58" s="425">
        <f>C58+E58</f>
        <v/>
      </c>
      <c r="G58" s="528" t="inlineStr">
        <is>
          <t>4год</t>
        </is>
      </c>
    </row>
    <row r="59" outlineLevel="1" ht="18.75" customHeight="1" s="532">
      <c r="B59" s="100" t="inlineStr">
        <is>
          <t>49 мес</t>
        </is>
      </c>
      <c r="C59" s="422" t="n">
        <v>0</v>
      </c>
      <c r="D59" s="423">
        <f>+D58-C58</f>
        <v/>
      </c>
      <c r="E59" s="424" t="n">
        <v>0</v>
      </c>
      <c r="F59" s="425">
        <f>C59+E59</f>
        <v/>
      </c>
      <c r="G59" s="528" t="inlineStr">
        <is>
          <t>5год</t>
        </is>
      </c>
    </row>
    <row r="60" outlineLevel="1" ht="18.75" customHeight="1" s="532">
      <c r="B60" s="100" t="inlineStr">
        <is>
          <t>50 мес</t>
        </is>
      </c>
      <c r="C60" s="422">
        <f>C59</f>
        <v/>
      </c>
      <c r="D60" s="423">
        <f>+D59-C59</f>
        <v/>
      </c>
      <c r="E60" s="424" t="n">
        <v>0</v>
      </c>
      <c r="F60" s="425">
        <f>C60+E60</f>
        <v/>
      </c>
      <c r="G60" s="528" t="inlineStr">
        <is>
          <t>5год</t>
        </is>
      </c>
    </row>
    <row r="61" outlineLevel="1" ht="18.75" customHeight="1" s="532">
      <c r="B61" s="100" t="inlineStr">
        <is>
          <t>51 мес</t>
        </is>
      </c>
      <c r="C61" s="422">
        <f>C60</f>
        <v/>
      </c>
      <c r="D61" s="423">
        <f>+D60-C60</f>
        <v/>
      </c>
      <c r="E61" s="424" t="n">
        <v>0</v>
      </c>
      <c r="F61" s="425">
        <f>C61+E61</f>
        <v/>
      </c>
      <c r="G61" s="528" t="inlineStr">
        <is>
          <t>5год</t>
        </is>
      </c>
    </row>
    <row r="62" outlineLevel="1" s="532">
      <c r="B62" s="100" t="inlineStr">
        <is>
          <t>52 мес</t>
        </is>
      </c>
      <c r="C62" s="422">
        <f>C61</f>
        <v/>
      </c>
      <c r="D62" s="423">
        <f>+D61-C61</f>
        <v/>
      </c>
      <c r="E62" s="424" t="n">
        <v>0</v>
      </c>
      <c r="F62" s="425">
        <f>C62+E62</f>
        <v/>
      </c>
      <c r="G62" s="528" t="inlineStr">
        <is>
          <t>5год</t>
        </is>
      </c>
    </row>
    <row r="63" outlineLevel="1" s="532">
      <c r="B63" s="100" t="inlineStr">
        <is>
          <t>53 мес</t>
        </is>
      </c>
      <c r="C63" s="422">
        <f>C62</f>
        <v/>
      </c>
      <c r="D63" s="423">
        <f>+D62-C62</f>
        <v/>
      </c>
      <c r="E63" s="424" t="n">
        <v>0</v>
      </c>
      <c r="F63" s="425">
        <f>C63+E63</f>
        <v/>
      </c>
      <c r="G63" s="528" t="inlineStr">
        <is>
          <t>5год</t>
        </is>
      </c>
    </row>
    <row r="64" outlineLevel="1" s="532">
      <c r="B64" s="100" t="inlineStr">
        <is>
          <t>54 мес</t>
        </is>
      </c>
      <c r="C64" s="422">
        <f>C58</f>
        <v/>
      </c>
      <c r="D64" s="423">
        <f>+D63-C63</f>
        <v/>
      </c>
      <c r="E64" s="424">
        <f>(D64*$D$6/2)</f>
        <v/>
      </c>
      <c r="F64" s="425">
        <f>C64+E64</f>
        <v/>
      </c>
      <c r="G64" s="528" t="inlineStr">
        <is>
          <t>5год</t>
        </is>
      </c>
    </row>
    <row r="65" outlineLevel="1" s="532">
      <c r="B65" s="100" t="inlineStr">
        <is>
          <t>55 мес</t>
        </is>
      </c>
      <c r="C65" s="422" t="n">
        <v>0</v>
      </c>
      <c r="D65" s="423">
        <f>+D64-C64</f>
        <v/>
      </c>
      <c r="E65" s="424" t="n">
        <v>0</v>
      </c>
      <c r="F65" s="425">
        <f>C65+E65</f>
        <v/>
      </c>
      <c r="G65" s="528" t="inlineStr">
        <is>
          <t>5год</t>
        </is>
      </c>
    </row>
    <row r="66" outlineLevel="1" s="532">
      <c r="B66" s="100" t="inlineStr">
        <is>
          <t>56 мес</t>
        </is>
      </c>
      <c r="C66" s="422">
        <f>C65</f>
        <v/>
      </c>
      <c r="D66" s="423">
        <f>+D65-C65</f>
        <v/>
      </c>
      <c r="E66" s="424" t="n">
        <v>0</v>
      </c>
      <c r="F66" s="425">
        <f>C66+E66</f>
        <v/>
      </c>
      <c r="G66" s="528" t="inlineStr">
        <is>
          <t>5год</t>
        </is>
      </c>
    </row>
    <row r="67" outlineLevel="1" s="532">
      <c r="B67" s="100" t="inlineStr">
        <is>
          <t>57 мес</t>
        </is>
      </c>
      <c r="C67" s="422">
        <f>C66</f>
        <v/>
      </c>
      <c r="D67" s="423">
        <f>+D66-C66</f>
        <v/>
      </c>
      <c r="E67" s="424" t="n">
        <v>0</v>
      </c>
      <c r="F67" s="425">
        <f>C67+E67</f>
        <v/>
      </c>
      <c r="G67" s="528" t="inlineStr">
        <is>
          <t>5год</t>
        </is>
      </c>
    </row>
    <row r="68" outlineLevel="1" s="532">
      <c r="B68" s="100" t="inlineStr">
        <is>
          <t>58 мес</t>
        </is>
      </c>
      <c r="C68" s="422">
        <f>C67</f>
        <v/>
      </c>
      <c r="D68" s="423">
        <f>+D67-C67</f>
        <v/>
      </c>
      <c r="E68" s="424" t="n">
        <v>0</v>
      </c>
      <c r="F68" s="425">
        <f>C68+E68</f>
        <v/>
      </c>
      <c r="G68" s="528" t="inlineStr">
        <is>
          <t>5год</t>
        </is>
      </c>
    </row>
    <row r="69" outlineLevel="1" s="532">
      <c r="B69" s="100" t="inlineStr">
        <is>
          <t>59 мес</t>
        </is>
      </c>
      <c r="C69" s="422">
        <f>C68</f>
        <v/>
      </c>
      <c r="D69" s="423">
        <f>+D68-C68</f>
        <v/>
      </c>
      <c r="E69" s="424" t="n">
        <v>0</v>
      </c>
      <c r="F69" s="425">
        <f>C69+E69</f>
        <v/>
      </c>
      <c r="G69" s="528" t="inlineStr">
        <is>
          <t>5год</t>
        </is>
      </c>
    </row>
    <row r="70" outlineLevel="1" s="532">
      <c r="B70" s="100" t="inlineStr">
        <is>
          <t>60 мес</t>
        </is>
      </c>
      <c r="C70" s="422">
        <f>C64</f>
        <v/>
      </c>
      <c r="D70" s="423">
        <f>+D69-C69</f>
        <v/>
      </c>
      <c r="E70" s="424">
        <f>(D70*$D$6/2)</f>
        <v/>
      </c>
      <c r="F70" s="425">
        <f>C70+E70</f>
        <v/>
      </c>
      <c r="G70" s="528" t="inlineStr">
        <is>
          <t>5год</t>
        </is>
      </c>
    </row>
    <row r="71" outlineLevel="1" s="532">
      <c r="B71" s="100" t="inlineStr">
        <is>
          <t>61 мес</t>
        </is>
      </c>
      <c r="C71" s="422" t="n">
        <v>0</v>
      </c>
      <c r="D71" s="423">
        <f>+D70-C70</f>
        <v/>
      </c>
      <c r="E71" s="424" t="n">
        <v>0</v>
      </c>
      <c r="F71" s="425">
        <f>C71+E71</f>
        <v/>
      </c>
    </row>
    <row r="72" outlineLevel="1" s="532">
      <c r="B72" s="100" t="inlineStr">
        <is>
          <t>62 мес</t>
        </is>
      </c>
      <c r="C72" s="422">
        <f>C71</f>
        <v/>
      </c>
      <c r="D72" s="423">
        <f>+D71-C71</f>
        <v/>
      </c>
      <c r="E72" s="424" t="n">
        <v>0</v>
      </c>
      <c r="F72" s="425">
        <f>C72+E72</f>
        <v/>
      </c>
    </row>
    <row r="73" outlineLevel="1" s="532">
      <c r="B73" s="100" t="inlineStr">
        <is>
          <t>63 мес</t>
        </is>
      </c>
      <c r="C73" s="422">
        <f>C72</f>
        <v/>
      </c>
      <c r="D73" s="423">
        <f>+D72-C72</f>
        <v/>
      </c>
      <c r="E73" s="424" t="n">
        <v>0</v>
      </c>
      <c r="F73" s="425">
        <f>C73+E73</f>
        <v/>
      </c>
    </row>
    <row r="74" outlineLevel="1" s="532">
      <c r="B74" s="100" t="inlineStr">
        <is>
          <t>64 мес</t>
        </is>
      </c>
      <c r="C74" s="422">
        <f>C73</f>
        <v/>
      </c>
      <c r="D74" s="423">
        <f>+D73-C73</f>
        <v/>
      </c>
      <c r="E74" s="424" t="n">
        <v>0</v>
      </c>
      <c r="F74" s="425">
        <f>C74+E74</f>
        <v/>
      </c>
    </row>
    <row r="75" outlineLevel="1" s="532">
      <c r="B75" s="100" t="inlineStr">
        <is>
          <t>65 мес</t>
        </is>
      </c>
      <c r="C75" s="422">
        <f>C74</f>
        <v/>
      </c>
      <c r="D75" s="423">
        <f>+D74-C74</f>
        <v/>
      </c>
      <c r="E75" s="424" t="n">
        <v>0</v>
      </c>
      <c r="F75" s="425">
        <f>C75+E75</f>
        <v/>
      </c>
    </row>
    <row r="76" outlineLevel="1" s="532">
      <c r="B76" s="100" t="inlineStr">
        <is>
          <t>66 мес</t>
        </is>
      </c>
      <c r="C76" s="422">
        <f>C70</f>
        <v/>
      </c>
      <c r="D76" s="423">
        <f>+D75-C75</f>
        <v/>
      </c>
      <c r="E76" s="424">
        <f>(D76*$D$6/2)</f>
        <v/>
      </c>
      <c r="F76" s="425">
        <f>C76+E76</f>
        <v/>
      </c>
    </row>
    <row r="77" outlineLevel="1" s="532">
      <c r="B77" s="100" t="inlineStr">
        <is>
          <t>67 мес</t>
        </is>
      </c>
      <c r="C77" s="422" t="n">
        <v>0</v>
      </c>
      <c r="D77" s="423">
        <f>+D76-C76</f>
        <v/>
      </c>
      <c r="E77" s="424" t="n">
        <v>0</v>
      </c>
      <c r="F77" s="425">
        <f>C77+E77</f>
        <v/>
      </c>
    </row>
    <row r="78" outlineLevel="1" s="532">
      <c r="B78" s="100" t="inlineStr">
        <is>
          <t>68 мес</t>
        </is>
      </c>
      <c r="C78" s="422">
        <f>C77</f>
        <v/>
      </c>
      <c r="D78" s="423">
        <f>+D77-C77</f>
        <v/>
      </c>
      <c r="E78" s="424" t="n">
        <v>0</v>
      </c>
      <c r="F78" s="425">
        <f>C78+E78</f>
        <v/>
      </c>
    </row>
    <row r="79" outlineLevel="1" s="532">
      <c r="B79" s="100" t="inlineStr">
        <is>
          <t>69 мес</t>
        </is>
      </c>
      <c r="C79" s="422">
        <f>C78</f>
        <v/>
      </c>
      <c r="D79" s="423">
        <f>+D78-C78</f>
        <v/>
      </c>
      <c r="E79" s="424" t="n">
        <v>0</v>
      </c>
      <c r="F79" s="425">
        <f>C79+E79</f>
        <v/>
      </c>
    </row>
    <row r="80" outlineLevel="1" s="532">
      <c r="B80" s="100" t="inlineStr">
        <is>
          <t>70 мес</t>
        </is>
      </c>
      <c r="C80" s="422">
        <f>C79</f>
        <v/>
      </c>
      <c r="D80" s="423">
        <f>+D79-C79</f>
        <v/>
      </c>
      <c r="E80" s="424" t="n">
        <v>0</v>
      </c>
      <c r="F80" s="425">
        <f>C80+E80</f>
        <v/>
      </c>
    </row>
    <row r="81" outlineLevel="1" s="532">
      <c r="B81" s="100" t="inlineStr">
        <is>
          <t>71 мес</t>
        </is>
      </c>
      <c r="C81" s="422">
        <f>C80</f>
        <v/>
      </c>
      <c r="D81" s="423">
        <f>+D80-C80</f>
        <v/>
      </c>
      <c r="E81" s="424" t="n">
        <v>0</v>
      </c>
      <c r="F81" s="425">
        <f>C81+E81</f>
        <v/>
      </c>
    </row>
    <row r="82" outlineLevel="1" s="532">
      <c r="B82" s="100" t="inlineStr">
        <is>
          <t>72 мес</t>
        </is>
      </c>
      <c r="C82" s="422">
        <f>C76</f>
        <v/>
      </c>
      <c r="D82" s="423">
        <f>+D81-C81</f>
        <v/>
      </c>
      <c r="E82" s="424">
        <f>(D82*$D$6/2)</f>
        <v/>
      </c>
      <c r="F82" s="425">
        <f>C82+E82</f>
        <v/>
      </c>
    </row>
    <row r="83" outlineLevel="1" s="532">
      <c r="B83" s="100" t="inlineStr">
        <is>
          <t>73 мес</t>
        </is>
      </c>
      <c r="C83" s="422" t="n">
        <v>0</v>
      </c>
      <c r="D83" s="423">
        <f>+D82-C82</f>
        <v/>
      </c>
      <c r="E83" s="424" t="n">
        <v>0</v>
      </c>
      <c r="F83" s="425">
        <f>C83+E83</f>
        <v/>
      </c>
    </row>
    <row r="84" outlineLevel="1" s="532">
      <c r="B84" s="100" t="inlineStr">
        <is>
          <t>74 мес</t>
        </is>
      </c>
      <c r="C84" s="422">
        <f>C83</f>
        <v/>
      </c>
      <c r="D84" s="423">
        <f>+D83-C83</f>
        <v/>
      </c>
      <c r="E84" s="424" t="n">
        <v>0</v>
      </c>
      <c r="F84" s="425">
        <f>C84+E84</f>
        <v/>
      </c>
    </row>
    <row r="85" outlineLevel="1" s="532">
      <c r="B85" s="100" t="inlineStr">
        <is>
          <t>75 мес</t>
        </is>
      </c>
      <c r="C85" s="422">
        <f>C84</f>
        <v/>
      </c>
      <c r="D85" s="423">
        <f>+D84-C84</f>
        <v/>
      </c>
      <c r="E85" s="424" t="n">
        <v>0</v>
      </c>
      <c r="F85" s="425">
        <f>C85+E85</f>
        <v/>
      </c>
    </row>
    <row r="86" outlineLevel="1" s="532">
      <c r="B86" s="100" t="inlineStr">
        <is>
          <t>76 мес</t>
        </is>
      </c>
      <c r="C86" s="422">
        <f>C85</f>
        <v/>
      </c>
      <c r="D86" s="423">
        <f>+D85-C85</f>
        <v/>
      </c>
      <c r="E86" s="424" t="n">
        <v>0</v>
      </c>
      <c r="F86" s="425">
        <f>C86+E86</f>
        <v/>
      </c>
    </row>
    <row r="87" outlineLevel="1" s="532">
      <c r="B87" s="100" t="inlineStr">
        <is>
          <t>77 мес</t>
        </is>
      </c>
      <c r="C87" s="422">
        <f>C86</f>
        <v/>
      </c>
      <c r="D87" s="423">
        <f>+D86-C86</f>
        <v/>
      </c>
      <c r="E87" s="424" t="n">
        <v>0</v>
      </c>
      <c r="F87" s="425">
        <f>C87+E87</f>
        <v/>
      </c>
    </row>
    <row r="88" outlineLevel="1" s="532">
      <c r="B88" s="100" t="inlineStr">
        <is>
          <t>78 мес</t>
        </is>
      </c>
      <c r="C88" s="422">
        <f>C82</f>
        <v/>
      </c>
      <c r="D88" s="423">
        <f>+D87-C87</f>
        <v/>
      </c>
      <c r="E88" s="424">
        <f>(D88*$D$6/2)</f>
        <v/>
      </c>
      <c r="F88" s="425">
        <f>C88+E88</f>
        <v/>
      </c>
    </row>
    <row r="89" outlineLevel="1" s="532">
      <c r="B89" s="100" t="inlineStr">
        <is>
          <t>79 мес</t>
        </is>
      </c>
      <c r="C89" s="422" t="n">
        <v>0</v>
      </c>
      <c r="D89" s="423">
        <f>+D88-C88</f>
        <v/>
      </c>
      <c r="E89" s="424" t="n">
        <v>0</v>
      </c>
      <c r="F89" s="425">
        <f>C89+E89</f>
        <v/>
      </c>
    </row>
    <row r="90" outlineLevel="1" s="532">
      <c r="B90" s="100" t="inlineStr">
        <is>
          <t>80 мес</t>
        </is>
      </c>
      <c r="C90" s="422">
        <f>C89</f>
        <v/>
      </c>
      <c r="D90" s="423">
        <f>+D89-C89</f>
        <v/>
      </c>
      <c r="E90" s="424" t="n">
        <v>0</v>
      </c>
      <c r="F90" s="425">
        <f>C90+E90</f>
        <v/>
      </c>
    </row>
    <row r="91" outlineLevel="1" s="532">
      <c r="B91" s="100" t="inlineStr">
        <is>
          <t>81 мес</t>
        </is>
      </c>
      <c r="C91" s="422">
        <f>C90</f>
        <v/>
      </c>
      <c r="D91" s="423">
        <f>+D90-C90</f>
        <v/>
      </c>
      <c r="E91" s="424" t="n">
        <v>0</v>
      </c>
      <c r="F91" s="425">
        <f>C91+E91</f>
        <v/>
      </c>
    </row>
    <row r="92" outlineLevel="1" s="532">
      <c r="B92" s="100" t="inlineStr">
        <is>
          <t>82 мес</t>
        </is>
      </c>
      <c r="C92" s="422">
        <f>C91</f>
        <v/>
      </c>
      <c r="D92" s="423">
        <f>+D91-C91</f>
        <v/>
      </c>
      <c r="E92" s="424" t="n">
        <v>0</v>
      </c>
      <c r="F92" s="425">
        <f>C92+E92</f>
        <v/>
      </c>
    </row>
    <row r="93" outlineLevel="1" s="532">
      <c r="B93" s="100" t="inlineStr">
        <is>
          <t>83 мес</t>
        </is>
      </c>
      <c r="C93" s="422">
        <f>C92</f>
        <v/>
      </c>
      <c r="D93" s="423">
        <f>+D92-C92</f>
        <v/>
      </c>
      <c r="E93" s="424" t="n">
        <v>0</v>
      </c>
      <c r="F93" s="425">
        <f>C93+E93</f>
        <v/>
      </c>
    </row>
    <row r="94" outlineLevel="1" s="532">
      <c r="B94" s="100" t="inlineStr">
        <is>
          <t>84 мес</t>
        </is>
      </c>
      <c r="C94" s="422">
        <f>C88</f>
        <v/>
      </c>
      <c r="D94" s="423">
        <f>+D93-C93</f>
        <v/>
      </c>
      <c r="E94" s="424">
        <f>(D94*$D$6/2)</f>
        <v/>
      </c>
      <c r="F94" s="425">
        <f>C94+E94</f>
        <v/>
      </c>
    </row>
    <row r="95" ht="16.5" customFormat="1" customHeight="1" s="11" thickBot="1">
      <c r="B95" s="10" t="inlineStr">
        <is>
          <t>ИТОГО</t>
        </is>
      </c>
      <c r="C95" s="426">
        <f>SUM(C11:C94)</f>
        <v/>
      </c>
      <c r="D95" s="101" t="n"/>
      <c r="E95" s="426">
        <f>SUM(E11:E94)</f>
        <v/>
      </c>
      <c r="F95" s="427">
        <f>SUM(F11:F94)</f>
        <v/>
      </c>
      <c r="G95" s="2" t="n"/>
      <c r="H95" s="2" t="n"/>
      <c r="I95" s="2" t="n"/>
      <c r="J95" s="2" t="n"/>
    </row>
    <row r="96" ht="16.5" customHeight="1" s="532" thickTop="1">
      <c r="B96" s="528" t="inlineStr">
        <is>
          <t xml:space="preserve"> </t>
        </is>
      </c>
    </row>
    <row r="97">
      <c r="E97" s="390" t="n"/>
    </row>
  </sheetData>
  <mergeCells count="1"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Лист12">
    <outlinePr summaryBelow="1" summaryRight="1"/>
    <pageSetUpPr fitToPage="1"/>
  </sheetPr>
  <dimension ref="B1:V19"/>
  <sheetViews>
    <sheetView showGridLines="0" view="pageBreakPreview" topLeftCell="A3" zoomScale="84" zoomScaleNormal="75" zoomScaleSheetLayoutView="84" workbookViewId="0">
      <selection activeCell="B14" sqref="B14"/>
    </sheetView>
  </sheetViews>
  <sheetFormatPr baseColWidth="8" defaultRowHeight="15.75"/>
  <cols>
    <col width="29.375" customWidth="1" style="528" min="2" max="2"/>
    <col width="19.375" customWidth="1" style="528" min="3" max="3"/>
    <col width="18.375" customWidth="1" style="528" min="4" max="4"/>
    <col width="11.625" customWidth="1" style="528" min="5" max="5"/>
    <col width="18.125" customWidth="1" style="528" min="6" max="6"/>
    <col width="11.875" customWidth="1" style="528" min="7" max="7"/>
    <col width="9" customWidth="1" style="528" min="8" max="8"/>
    <col hidden="1" width="32.375" customWidth="1" style="528" min="9" max="9"/>
    <col hidden="1" width="42.625" customWidth="1" style="528" min="10" max="10"/>
    <col hidden="1" width="12.375" customWidth="1" style="528" min="11" max="11"/>
    <col width="9" customWidth="1" style="528" min="12" max="22"/>
  </cols>
  <sheetData>
    <row r="1">
      <c r="B1" s="3" t="n"/>
      <c r="C1" s="4" t="n"/>
      <c r="D1" s="4" t="n"/>
      <c r="E1" s="4" t="n"/>
    </row>
    <row r="2" ht="28.5" customHeight="1" s="532" thickBot="1">
      <c r="B2" s="539" t="inlineStr">
        <is>
          <t>TO'LIQ QUVVATLI BO'LGAN ISHLAB CHIQARISH XARAJATLARI</t>
        </is>
      </c>
      <c r="C2" s="533" t="n"/>
      <c r="D2" s="533" t="n"/>
      <c r="E2" s="533" t="n"/>
      <c r="F2" s="534" t="inlineStr">
        <is>
          <t>10-ILOVA</t>
        </is>
      </c>
      <c r="G2" s="533" t="n"/>
      <c r="I2" s="528" t="inlineStr">
        <is>
          <t>Допущения использованные в расчетах</t>
        </is>
      </c>
    </row>
    <row r="3" ht="16.5" customHeight="1" s="532" thickTop="1">
      <c r="B3" s="537" t="inlineStr">
        <is>
          <t>XARAJATLAR</t>
        </is>
      </c>
      <c r="C3" s="535" t="inlineStr">
        <is>
          <t>TO'LIQ XARAJATLAR</t>
        </is>
      </c>
      <c r="D3" s="118" t="inlineStr">
        <is>
          <t>DOIMIY XARAJATLAR</t>
        </is>
      </c>
      <c r="E3" s="118" t="n"/>
      <c r="F3" s="118" t="inlineStr">
        <is>
          <t>O'ZGARUVChAN XARAJATLAR</t>
        </is>
      </c>
      <c r="G3" s="119" t="n"/>
      <c r="I3" s="428" t="inlineStr">
        <is>
          <t>Статьи расходов</t>
        </is>
      </c>
      <c r="J3" s="429" t="inlineStr">
        <is>
          <t>Примечания</t>
        </is>
      </c>
      <c r="K3" s="430" t="inlineStr">
        <is>
          <t>сумма в сум</t>
        </is>
      </c>
    </row>
    <row r="4">
      <c r="B4" s="538" t="n"/>
      <c r="C4" s="536" t="n"/>
      <c r="D4" s="326" t="inlineStr">
        <is>
          <t>сумма</t>
        </is>
      </c>
      <c r="E4" s="326" t="inlineStr">
        <is>
          <t xml:space="preserve"> %</t>
        </is>
      </c>
      <c r="F4" s="326" t="inlineStr">
        <is>
          <t>сумма</t>
        </is>
      </c>
      <c r="G4" s="326" t="inlineStr">
        <is>
          <t xml:space="preserve"> %</t>
        </is>
      </c>
      <c r="H4" s="23" t="n"/>
      <c r="I4" s="431" t="inlineStr">
        <is>
          <t>Расходы на рекламу</t>
        </is>
      </c>
      <c r="J4" s="432" t="inlineStr">
        <is>
          <t>11200 тыс. сум в году, взята с предоставленного допольнения</t>
        </is>
      </c>
      <c r="K4" s="433" t="n">
        <v>80000</v>
      </c>
    </row>
    <row r="5" ht="19.15" customHeight="1" s="532">
      <c r="B5" s="21" t="inlineStr">
        <is>
          <t>To'g'ridan-to'g'ri xarajatlar</t>
        </is>
      </c>
      <c r="C5" s="434">
        <f>ProdPlan!G4*1%</f>
        <v/>
      </c>
      <c r="D5" s="435">
        <f>C5*E5</f>
        <v/>
      </c>
      <c r="E5" s="191" t="n">
        <v>0.8</v>
      </c>
      <c r="F5" s="435">
        <f>+C5*G5</f>
        <v/>
      </c>
      <c r="G5" s="193">
        <f>1-E5</f>
        <v/>
      </c>
      <c r="I5" s="431" t="inlineStr">
        <is>
          <t>Торговые издержки</t>
        </is>
      </c>
      <c r="J5" s="432" t="inlineStr">
        <is>
          <t xml:space="preserve">Расходы на упаковку, невозврат. Тара и доставку, взят с доп. </t>
        </is>
      </c>
      <c r="K5" s="433" t="n">
        <v>80000</v>
      </c>
    </row>
    <row r="6" hidden="1" ht="19.15" customHeight="1" s="532">
      <c r="B6" s="34" t="n"/>
      <c r="C6" s="436" t="n"/>
      <c r="D6" s="437" t="n"/>
      <c r="E6" s="438" t="n"/>
      <c r="F6" s="437" t="n"/>
      <c r="G6" s="439" t="n"/>
      <c r="I6" s="431" t="n"/>
      <c r="J6" s="432" t="n"/>
      <c r="K6" s="433" t="n"/>
    </row>
    <row r="7" ht="19.15" customHeight="1" s="532">
      <c r="B7" s="126" t="inlineStr">
        <is>
          <t>Operatsion xarajatlar</t>
        </is>
      </c>
      <c r="C7" s="436">
        <f>Labour!F33</f>
        <v/>
      </c>
      <c r="D7" s="437">
        <f>C7*E7</f>
        <v/>
      </c>
      <c r="E7" s="192" t="n">
        <v>0.7</v>
      </c>
      <c r="F7" s="437">
        <f>+C7*G7</f>
        <v/>
      </c>
      <c r="G7" s="193">
        <f>1-E7</f>
        <v/>
      </c>
      <c r="I7" s="431" t="inlineStr">
        <is>
          <t>Инженерные коммуникации</t>
        </is>
      </c>
      <c r="J7" s="432" t="inlineStr">
        <is>
          <t xml:space="preserve">Прокладка, обсл. И прозвонка действующих инж. Комм. </t>
        </is>
      </c>
      <c r="K7" s="433" t="n">
        <v>2040</v>
      </c>
    </row>
    <row r="8" ht="19.15" customHeight="1" s="532">
      <c r="B8" s="126" t="inlineStr">
        <is>
          <t>Jami amortizatsiya</t>
        </is>
      </c>
      <c r="C8" s="436">
        <f>Depreciate!E7</f>
        <v/>
      </c>
      <c r="D8" s="437">
        <f>C8*E8</f>
        <v/>
      </c>
      <c r="E8" s="192" t="n">
        <v>1</v>
      </c>
      <c r="F8" s="437">
        <f>+C8*G8</f>
        <v/>
      </c>
      <c r="G8" s="193">
        <f>1-E8</f>
        <v/>
      </c>
      <c r="I8" s="431" t="inlineStr">
        <is>
          <t>Офисные расходы</t>
        </is>
      </c>
      <c r="J8" s="432" t="inlineStr">
        <is>
          <t>На покупку канц. Товаров и представительские расходы</t>
        </is>
      </c>
      <c r="K8" s="433" t="n">
        <v>10000</v>
      </c>
    </row>
    <row r="9" ht="27" customHeight="1" s="532">
      <c r="B9" s="126" t="inlineStr">
        <is>
          <t>Ishlab chiqarish xodimlarining ish haqi</t>
        </is>
      </c>
      <c r="C9" s="436">
        <f>Labour!F18+Labour!F13</f>
        <v/>
      </c>
      <c r="D9" s="437">
        <f>C9*E9</f>
        <v/>
      </c>
      <c r="E9" s="192" t="n">
        <v>0</v>
      </c>
      <c r="F9" s="437">
        <f>+C9*G9</f>
        <v/>
      </c>
      <c r="G9" s="193">
        <f>1-E9</f>
        <v/>
      </c>
      <c r="I9" s="431" t="n"/>
      <c r="J9" s="432" t="n"/>
      <c r="K9" s="433" t="n"/>
    </row>
    <row r="10" ht="19.15" customHeight="1" s="532">
      <c r="B10" s="127" t="inlineStr">
        <is>
          <t>Ijtimoiy soliq</t>
        </is>
      </c>
      <c r="C10" s="436">
        <f>Labour!F19+Labour!F14</f>
        <v/>
      </c>
      <c r="D10" s="437">
        <f>C10*E10</f>
        <v/>
      </c>
      <c r="E10" s="192" t="n">
        <v>0</v>
      </c>
      <c r="F10" s="437">
        <f>+C10*G10</f>
        <v/>
      </c>
      <c r="G10" s="193">
        <f>1-E10</f>
        <v/>
      </c>
      <c r="I10" s="431" t="inlineStr">
        <is>
          <t>Транспортные расходы</t>
        </is>
      </c>
      <c r="J10" s="432" t="inlineStr">
        <is>
          <t>Расходы на ж/д транспорт</t>
        </is>
      </c>
      <c r="K10" s="433" t="n">
        <v>31360</v>
      </c>
    </row>
    <row r="11" ht="19.15" customHeight="1" s="532">
      <c r="B11" s="126" t="inlineStr">
        <is>
          <t>Ma'muriyat xodimlari ish haqi</t>
        </is>
      </c>
      <c r="C11" s="436">
        <f>Labour!F7</f>
        <v/>
      </c>
      <c r="D11" s="437">
        <f>C11*E11</f>
        <v/>
      </c>
      <c r="E11" s="192" t="n">
        <v>1</v>
      </c>
      <c r="F11" s="437">
        <f>+C11*G11</f>
        <v/>
      </c>
      <c r="G11" s="193">
        <f>1-E11</f>
        <v/>
      </c>
      <c r="I11" s="431" t="inlineStr">
        <is>
          <t>ГСМ</t>
        </is>
      </c>
      <c r="J11" s="432" t="inlineStr">
        <is>
          <t>На диз. Топливо 17 000 литров и автомобильных масел</t>
        </is>
      </c>
      <c r="K11" s="433" t="n">
        <v>7500</v>
      </c>
    </row>
    <row r="12" ht="19.15" customHeight="1" s="532">
      <c r="B12" s="127">
        <f>B10</f>
        <v/>
      </c>
      <c r="C12" s="436">
        <f>Labour!F8</f>
        <v/>
      </c>
      <c r="D12" s="437">
        <f>C12*E12</f>
        <v/>
      </c>
      <c r="E12" s="192" t="n">
        <v>1</v>
      </c>
      <c r="F12" s="437">
        <f>+C12*G12</f>
        <v/>
      </c>
      <c r="G12" s="193">
        <f>1-E12</f>
        <v/>
      </c>
      <c r="I12" s="431" t="inlineStr">
        <is>
          <t>Юридические и финансовые расходы</t>
        </is>
      </c>
      <c r="J12" s="432" t="inlineStr">
        <is>
          <t>На оплату банковских и юридических услуг</t>
        </is>
      </c>
      <c r="K12" s="433" t="n">
        <v>6000</v>
      </c>
    </row>
    <row r="13" ht="32.45" customHeight="1" s="532">
      <c r="B13" s="126" t="inlineStr">
        <is>
          <t xml:space="preserve">Boshqa ma'muriy xarajatlar </t>
        </is>
      </c>
      <c r="C13" s="436">
        <f>F18*0.2%</f>
        <v/>
      </c>
      <c r="D13" s="437">
        <f>C13*E13</f>
        <v/>
      </c>
      <c r="E13" s="192" t="n">
        <v>0.5</v>
      </c>
      <c r="F13" s="437">
        <f>+C13*G13</f>
        <v/>
      </c>
      <c r="G13" s="193">
        <f>1-E13</f>
        <v/>
      </c>
      <c r="I13" s="431" t="n"/>
      <c r="J13" s="432" t="n"/>
      <c r="K13" s="433" t="n"/>
    </row>
    <row r="14" ht="34.15" customHeight="1" s="532">
      <c r="B14" s="126" t="inlineStr">
        <is>
          <t xml:space="preserve">Asosiy vositalarga texnik xizmat ko'rsatish va joriy ta'mirlash </t>
        </is>
      </c>
      <c r="C14" s="436">
        <f>C8*1%</f>
        <v/>
      </c>
      <c r="D14" s="437">
        <f>C14*E14</f>
        <v/>
      </c>
      <c r="E14" s="192" t="n">
        <v>0.7</v>
      </c>
      <c r="F14" s="437">
        <f>+C14*G14</f>
        <v/>
      </c>
      <c r="G14" s="193">
        <f>1-E14</f>
        <v/>
      </c>
      <c r="I14" s="431" t="n"/>
      <c r="J14" s="432" t="n"/>
      <c r="K14" s="433" t="n"/>
    </row>
    <row r="15" ht="26.45" customHeight="1" s="532">
      <c r="B15" s="126" t="inlineStr">
        <is>
          <t>Marketing xarajatlari (0,2%)</t>
        </is>
      </c>
      <c r="C15" s="436">
        <f>F18*0.2%</f>
        <v/>
      </c>
      <c r="D15" s="437">
        <f>C15*E15</f>
        <v/>
      </c>
      <c r="E15" s="192" t="n">
        <v>0.7</v>
      </c>
      <c r="F15" s="437">
        <f>+C15*G15</f>
        <v/>
      </c>
      <c r="G15" s="193">
        <f>1-E15</f>
        <v/>
      </c>
      <c r="I15" s="431" t="n"/>
      <c r="J15" s="432" t="n"/>
      <c r="K15" s="433" t="n"/>
    </row>
    <row r="16" ht="33" customHeight="1" s="532">
      <c r="B16" s="126" t="inlineStr">
        <is>
          <t>Boshqa ko'zda tutilmagan xarajatlar</t>
        </is>
      </c>
      <c r="C16" s="436">
        <f>F18*0.2%</f>
        <v/>
      </c>
      <c r="D16" s="437">
        <f>C16*E16</f>
        <v/>
      </c>
      <c r="E16" s="192" t="n">
        <v>0.5</v>
      </c>
      <c r="F16" s="437">
        <f>+C16*G16</f>
        <v/>
      </c>
      <c r="G16" s="193">
        <f>1-E16</f>
        <v/>
      </c>
      <c r="I16" s="440" t="n"/>
      <c r="J16" s="441" t="n"/>
      <c r="K16" s="442" t="n"/>
    </row>
    <row r="17" ht="19.9" customFormat="1" customHeight="1" s="11" thickBot="1">
      <c r="B17" s="103" t="inlineStr">
        <is>
          <t>JAMI XARAJATLAR</t>
        </is>
      </c>
      <c r="C17" s="443">
        <f>SUM(C5:C16)</f>
        <v/>
      </c>
      <c r="D17" s="444">
        <f>SUM(D5:D16)</f>
        <v/>
      </c>
      <c r="E17" s="445">
        <f>D17/C17</f>
        <v/>
      </c>
      <c r="F17" s="444">
        <f>SUM(F5:F16)</f>
        <v/>
      </c>
      <c r="G17" s="446">
        <f>F17/C17</f>
        <v/>
      </c>
      <c r="H17" s="2" t="n"/>
      <c r="I17" s="447" t="n"/>
      <c r="J17" s="448" t="n"/>
      <c r="K17" s="44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24" customHeight="1" s="532" thickBot="1">
      <c r="B18" s="108" t="inlineStr">
        <is>
          <t>TO'LIQ QUVVATDA SOTISH</t>
        </is>
      </c>
      <c r="C18" s="106" t="n"/>
      <c r="D18" s="107" t="n"/>
      <c r="E18" s="107" t="n"/>
      <c r="F18" s="115">
        <f>ProdPlan!D15*ProdPlan!F15+ProdPlan!D16*ProdPlan!F16+ProdPlan!D17*ProdPlan!F17+ProdPlan!D18*ProdPlan!F18+ProdPlan!D19*ProdPlan!F19+ProdPlan!D20*ProdPlan!F20</f>
        <v/>
      </c>
      <c r="G18" s="194" t="n"/>
      <c r="I18" s="450" t="inlineStr">
        <is>
          <t>Итого прочие расходы</t>
        </is>
      </c>
      <c r="J18" s="451" t="n"/>
      <c r="K18" s="452">
        <f>SUM(K4:K15)</f>
        <v/>
      </c>
    </row>
    <row r="19" ht="26.45" customHeight="1" s="532" thickBot="1">
      <c r="B19" s="104" t="inlineStr">
        <is>
          <t>ZARARSIZLANISH NUQTASI</t>
        </is>
      </c>
      <c r="C19" s="105" t="n"/>
      <c r="D19" s="105" t="n"/>
      <c r="E19" s="105" t="n"/>
      <c r="F19" s="453">
        <f>D17/(F18-F17)</f>
        <v/>
      </c>
      <c r="G19" s="454" t="n"/>
    </row>
    <row r="20" ht="16.5" customHeight="1" s="532" thickTop="1"/>
  </sheetData>
  <mergeCells count="4">
    <mergeCell ref="F2:G2"/>
    <mergeCell ref="C3:C4"/>
    <mergeCell ref="B3:B4"/>
    <mergeCell ref="B2:E2"/>
  </mergeCells>
  <printOptions horizontalCentered="1" verticalCentered="1"/>
  <pageMargins left="0.7874015748031497" right="0.7874015748031497" top="0.984251968503937" bottom="0.984251968503937" header="0.5118110236220472" footer="0.5118110236220472"/>
  <pageSetup orientation="landscape" paperSize="9"/>
</worksheet>
</file>

<file path=xl/worksheets/sheet12.xml><?xml version="1.0" encoding="utf-8"?>
<worksheet xmlns="http://schemas.openxmlformats.org/spreadsheetml/2006/main">
  <sheetPr codeName="Лист13">
    <outlinePr summaryBelow="1" summaryRight="1"/>
    <pageSetUpPr fitToPage="1"/>
  </sheetPr>
  <dimension ref="B1:I33"/>
  <sheetViews>
    <sheetView showGridLines="0" view="pageBreakPreview" zoomScale="70" zoomScaleNormal="75" zoomScaleSheetLayoutView="70" workbookViewId="0">
      <selection activeCell="F20" sqref="F20"/>
    </sheetView>
  </sheetViews>
  <sheetFormatPr baseColWidth="8" defaultRowHeight="15.75" outlineLevelRow="1"/>
  <cols>
    <col width="5.125" customWidth="1" style="532" min="1" max="1"/>
    <col width="37.875" customWidth="1" style="528" min="2" max="2"/>
    <col width="18.375" customWidth="1" style="528" min="3" max="4"/>
    <col width="15" customWidth="1" style="528" min="5" max="5"/>
    <col width="18.375" customWidth="1" style="528" min="6" max="6"/>
    <col width="15.875" customWidth="1" style="532" min="7" max="8"/>
    <col width="18" customWidth="1" style="532" min="9" max="9"/>
  </cols>
  <sheetData>
    <row r="1">
      <c r="B1" s="259" t="n"/>
      <c r="C1" s="260" t="n"/>
      <c r="D1" s="260" t="n"/>
      <c r="E1" s="260" t="n"/>
      <c r="F1" s="260" t="n"/>
      <c r="G1" s="261" t="n"/>
    </row>
    <row r="2" ht="18.75" customHeight="1" s="532">
      <c r="B2" s="262" t="inlineStr">
        <is>
          <t>TO'LIQ YILLIK XARAJATLAR</t>
        </is>
      </c>
      <c r="C2" s="260" t="n"/>
      <c r="D2" s="260" t="n"/>
      <c r="E2" s="263" t="n"/>
      <c r="F2" s="260" t="n"/>
      <c r="G2" s="267" t="inlineStr">
        <is>
          <t>11-ILOVA</t>
        </is>
      </c>
    </row>
    <row r="3" ht="14.25" customFormat="1" customHeight="1" s="503">
      <c r="B3" s="269" t="inlineStr">
        <is>
          <t>Xarajat moddalari</t>
        </is>
      </c>
      <c r="C3" s="264">
        <f>ProdPlan!C23</f>
        <v/>
      </c>
      <c r="D3" s="264">
        <f>ProdPlan!D23</f>
        <v/>
      </c>
      <c r="E3" s="264">
        <f>ProdPlan!E23</f>
        <v/>
      </c>
      <c r="F3" s="264">
        <f>ProdPlan!F23</f>
        <v/>
      </c>
      <c r="G3" s="264">
        <f>ProdPlan!G23</f>
        <v/>
      </c>
      <c r="H3" s="264">
        <f>ProdPlan!H23</f>
        <v/>
      </c>
      <c r="I3" s="264">
        <f>ProdPlan!I23</f>
        <v/>
      </c>
    </row>
    <row r="4" outlineLevel="1" s="532">
      <c r="B4" s="285" t="inlineStr">
        <is>
          <t>Rivojlanish quvvati</t>
        </is>
      </c>
      <c r="C4" s="12">
        <f>ProdPlan!C24</f>
        <v/>
      </c>
      <c r="D4" s="12">
        <f>ProdPlan!D24</f>
        <v/>
      </c>
      <c r="E4" s="12">
        <f>ProdPlan!E24</f>
        <v/>
      </c>
      <c r="F4" s="12">
        <f>ProdPlan!F24</f>
        <v/>
      </c>
      <c r="G4" s="12">
        <f>ProdPlan!G24</f>
        <v/>
      </c>
      <c r="H4" s="12">
        <f>ProdPlan!H24</f>
        <v/>
      </c>
      <c r="I4" s="12">
        <f>ProdPlan!I24</f>
        <v/>
      </c>
    </row>
    <row r="5">
      <c r="B5" s="285">
        <f>CostTotal!B5</f>
        <v/>
      </c>
      <c r="C5" s="455">
        <f>CostTotal!$D$5+CostTotal!$F$5*C4</f>
        <v/>
      </c>
      <c r="D5" s="455">
        <f>CostTotal!$D$5+CostTotal!$F$5*D4</f>
        <v/>
      </c>
      <c r="E5" s="455">
        <f>CostTotal!$D$5+CostTotal!$F$5*E4</f>
        <v/>
      </c>
      <c r="F5" s="455">
        <f>CostTotal!$D$5+CostTotal!$F$5*F4</f>
        <v/>
      </c>
      <c r="G5" s="455">
        <f>CostTotal!$D$5+CostTotal!$F$5*G4</f>
        <v/>
      </c>
      <c r="H5" s="455">
        <f>CostTotal!$D$5+CostTotal!$F$5*H4</f>
        <v/>
      </c>
      <c r="I5" s="455">
        <f>CostTotal!$D$5+CostTotal!$F$5*I4</f>
        <v/>
      </c>
    </row>
    <row r="6" customFormat="1" s="11">
      <c r="B6" s="270">
        <f>+CostTotal!B9</f>
        <v/>
      </c>
      <c r="C6" s="455">
        <f>CostTotal!$D$9+CostTotal!$F$9*CostSold!C4</f>
        <v/>
      </c>
      <c r="D6" s="455">
        <f>CostTotal!$D$9+CostTotal!$F$9*CostSold!D4</f>
        <v/>
      </c>
      <c r="E6" s="455">
        <f>CostTotal!$D$9+CostTotal!$F$9*CostSold!E4</f>
        <v/>
      </c>
      <c r="F6" s="455">
        <f>CostTotal!$D$9+CostTotal!$F$9*CostSold!F4</f>
        <v/>
      </c>
      <c r="G6" s="455">
        <f>CostTotal!$D$9+CostTotal!$F$9*CostSold!G4</f>
        <v/>
      </c>
      <c r="H6" s="455">
        <f>CostTotal!$D$9+CostTotal!$F$9*CostSold!H4</f>
        <v/>
      </c>
      <c r="I6" s="455">
        <f>CostTotal!$D$9+CostTotal!$F$9*CostSold!I4</f>
        <v/>
      </c>
    </row>
    <row r="7" customFormat="1" s="11">
      <c r="B7" s="271">
        <f>+CostTotal!B10</f>
        <v/>
      </c>
      <c r="C7" s="456">
        <f>CostTotal!$D$10+CostTotal!$F$10*CostSold!C4</f>
        <v/>
      </c>
      <c r="D7" s="456">
        <f>(CostTotal!$D$10+CostTotal!$F$10*CostSold!D4)</f>
        <v/>
      </c>
      <c r="E7" s="456">
        <f>(CostTotal!$D$10+CostTotal!$F$10*CostSold!E4)</f>
        <v/>
      </c>
      <c r="F7" s="456">
        <f>(CostTotal!$D$10+CostTotal!$F$10*CostSold!F4)</f>
        <v/>
      </c>
      <c r="G7" s="456">
        <f>(CostTotal!$D$10+CostTotal!$F$10*CostSold!G4)</f>
        <v/>
      </c>
      <c r="H7" s="456">
        <f>(CostTotal!$D$10+CostTotal!$F$10*CostSold!H4)</f>
        <v/>
      </c>
      <c r="I7" s="456">
        <f>(CostTotal!$D$10+CostTotal!$F$10*CostSold!I4)</f>
        <v/>
      </c>
    </row>
    <row r="8" customFormat="1" s="11">
      <c r="B8" s="270">
        <f>CostTotal!B7</f>
        <v/>
      </c>
      <c r="C8" s="455">
        <f>CostTotal!$D$7+CostTotal!$F$7*CostSold!C4</f>
        <v/>
      </c>
      <c r="D8" s="455">
        <f>CostTotal!$D$7+CostTotal!$F$7*CostSold!D4</f>
        <v/>
      </c>
      <c r="E8" s="455">
        <f>CostTotal!$D$7+CostTotal!$F$7*CostSold!E4</f>
        <v/>
      </c>
      <c r="F8" s="455">
        <f>CostTotal!$D$7+CostTotal!$F$7*CostSold!F4</f>
        <v/>
      </c>
      <c r="G8" s="455">
        <f>CostTotal!$D$7+CostTotal!$F$7*CostSold!G4</f>
        <v/>
      </c>
      <c r="H8" s="455">
        <f>CostTotal!$D$7+CostTotal!$F$7*CostSold!H4</f>
        <v/>
      </c>
      <c r="I8" s="455">
        <f>CostTotal!$D$7+CostTotal!$F$7*CostSold!I4</f>
        <v/>
      </c>
    </row>
    <row r="9">
      <c r="B9" s="270" t="inlineStr">
        <is>
          <t>Amortizatsiya</t>
        </is>
      </c>
      <c r="C9" s="455">
        <f>Depreciate!E7</f>
        <v/>
      </c>
      <c r="D9" s="455">
        <f>Depreciate!F7</f>
        <v/>
      </c>
      <c r="E9" s="455">
        <f>Depreciate!G7</f>
        <v/>
      </c>
      <c r="F9" s="455">
        <f>Depreciate!H7</f>
        <v/>
      </c>
      <c r="G9" s="455">
        <f>Depreciate!I7</f>
        <v/>
      </c>
      <c r="H9" s="455">
        <f>Depreciate!J7</f>
        <v/>
      </c>
      <c r="I9" s="455">
        <f>Depreciate!K7</f>
        <v/>
      </c>
    </row>
    <row r="10">
      <c r="B10" s="272" t="inlineStr">
        <is>
          <t>TANNARX</t>
        </is>
      </c>
      <c r="C10" s="457">
        <f>+C9+C8+C7+C6+C5</f>
        <v/>
      </c>
      <c r="D10" s="457">
        <f>+D9+D8+D7+D6+D5</f>
        <v/>
      </c>
      <c r="E10" s="457">
        <f>+E9+E8+E7+E6+E5</f>
        <v/>
      </c>
      <c r="F10" s="457">
        <f>+F9+F8+F7+F6+F5</f>
        <v/>
      </c>
      <c r="G10" s="457">
        <f>+G9+G8+G7+G6+G5</f>
        <v/>
      </c>
      <c r="H10" s="457">
        <f>+H9+H8+H7+H6+H5</f>
        <v/>
      </c>
      <c r="I10" s="457">
        <f>+I9+I8+I7+I6+I5</f>
        <v/>
      </c>
    </row>
    <row r="11">
      <c r="B11" s="270">
        <f>CostTotal!B11</f>
        <v/>
      </c>
      <c r="C11" s="455">
        <f>+CostTotal!$D$11+CostTotal!$F$11*CostSold!C4</f>
        <v/>
      </c>
      <c r="D11" s="455">
        <f>+CostTotal!$D$11+CostTotal!$F$11*CostSold!D4</f>
        <v/>
      </c>
      <c r="E11" s="455">
        <f>+CostTotal!$D$11+CostTotal!$F$11*CostSold!E4</f>
        <v/>
      </c>
      <c r="F11" s="455">
        <f>+CostTotal!$D$11+CostTotal!$F$11*CostSold!F4</f>
        <v/>
      </c>
      <c r="G11" s="455">
        <f>+CostTotal!$D$11+CostTotal!$F$11*CostSold!G4</f>
        <v/>
      </c>
      <c r="H11" s="455">
        <f>+CostTotal!$D$11+CostTotal!$F$11*CostSold!H4</f>
        <v/>
      </c>
      <c r="I11" s="455">
        <f>+CostTotal!$D$11+CostTotal!$F$11*CostSold!I4</f>
        <v/>
      </c>
    </row>
    <row r="12" ht="18" customFormat="1" customHeight="1" s="24">
      <c r="B12" s="271">
        <f>+B7</f>
        <v/>
      </c>
      <c r="C12" s="456">
        <f>+CostTotal!$D$12+CostTotal!$F$12*CostSold!C4</f>
        <v/>
      </c>
      <c r="D12" s="456">
        <f>+CostTotal!$D$12+CostTotal!$F$12*CostSold!D4</f>
        <v/>
      </c>
      <c r="E12" s="456">
        <f>+CostTotal!$D$12+CostTotal!$F$12*CostSold!E4</f>
        <v/>
      </c>
      <c r="F12" s="456">
        <f>+CostTotal!$D$12+CostTotal!$F$12*CostSold!F4</f>
        <v/>
      </c>
      <c r="G12" s="456">
        <f>+CostTotal!$D$12+CostTotal!$F$12*CostSold!G4</f>
        <v/>
      </c>
      <c r="H12" s="456">
        <f>+CostTotal!$D$12+CostTotal!$F$12*CostSold!H4</f>
        <v/>
      </c>
      <c r="I12" s="456">
        <f>+CostTotal!$D$12+CostTotal!$F$12*CostSold!I4</f>
        <v/>
      </c>
    </row>
    <row r="13">
      <c r="B13" s="270">
        <f>CostTotal!B16</f>
        <v/>
      </c>
      <c r="C13" s="455">
        <f>CostTotal!$D$16+CostTotal!$F$16*C4</f>
        <v/>
      </c>
      <c r="D13" s="455">
        <f>CostTotal!$D$16+CostTotal!$F$16*D4</f>
        <v/>
      </c>
      <c r="E13" s="455">
        <f>CostTotal!$D$16+CostTotal!$F$16*E4</f>
        <v/>
      </c>
      <c r="F13" s="455">
        <f>CostTotal!$D$16+CostTotal!$F$16*F4</f>
        <v/>
      </c>
      <c r="G13" s="455">
        <f>CostTotal!$D$16+CostTotal!$F$16*G4</f>
        <v/>
      </c>
      <c r="H13" s="455">
        <f>CostTotal!$D$16+CostTotal!$F$16*H4</f>
        <v/>
      </c>
      <c r="I13" s="455">
        <f>CostTotal!$D$16+CostTotal!$F$16*I4</f>
        <v/>
      </c>
    </row>
    <row r="14" ht="31.9" customHeight="1" s="532">
      <c r="B14" s="270">
        <f>CostTotal!B14</f>
        <v/>
      </c>
      <c r="C14" s="455">
        <f>CostTotal!$D$14+CostTotal!$F$14*C4</f>
        <v/>
      </c>
      <c r="D14" s="455">
        <f>CostTotal!$D$14+CostTotal!$F$14*D4</f>
        <v/>
      </c>
      <c r="E14" s="455">
        <f>CostTotal!$D$14+CostTotal!$F$14*E4</f>
        <v/>
      </c>
      <c r="F14" s="455">
        <f>CostTotal!$D$14+CostTotal!$F$14*F4</f>
        <v/>
      </c>
      <c r="G14" s="455">
        <f>CostTotal!$D$14+CostTotal!$F$14*G4</f>
        <v/>
      </c>
      <c r="H14" s="455">
        <f>CostTotal!$D$14+CostTotal!$F$14*H4</f>
        <v/>
      </c>
      <c r="I14" s="455">
        <f>CostTotal!$D$14+CostTotal!$F$14*I4</f>
        <v/>
      </c>
    </row>
    <row r="15">
      <c r="B15" s="270" t="inlineStr">
        <is>
          <t>Marketing xarajatlar</t>
        </is>
      </c>
      <c r="C15" s="455">
        <f>CostTotal!$D$15+CostTotal!$F$15*C4</f>
        <v/>
      </c>
      <c r="D15" s="455">
        <f>CostTotal!$D$15+CostTotal!$F$15*D4</f>
        <v/>
      </c>
      <c r="E15" s="455">
        <f>CostTotal!$D$15+CostTotal!$F$15*E4</f>
        <v/>
      </c>
      <c r="F15" s="455">
        <f>CostTotal!$D$15+CostTotal!$F$15*F4</f>
        <v/>
      </c>
      <c r="G15" s="455">
        <f>CostTotal!$D$15+CostTotal!$F$15*G4</f>
        <v/>
      </c>
      <c r="H15" s="455">
        <f>CostTotal!$D$15+CostTotal!$F$15*H4</f>
        <v/>
      </c>
      <c r="I15" s="455">
        <f>CostTotal!$D$15+CostTotal!$F$15*I4</f>
        <v/>
      </c>
    </row>
    <row r="16" ht="18" customHeight="1" s="532">
      <c r="B16" s="270">
        <f>CostTotal!B13</f>
        <v/>
      </c>
      <c r="C16" s="455">
        <f>CostTotal!$D$13+CostTotal!$F$13*C4</f>
        <v/>
      </c>
      <c r="D16" s="455">
        <f>CostTotal!$D$13+CostTotal!$F$13*D4</f>
        <v/>
      </c>
      <c r="E16" s="455">
        <f>CostTotal!$D$13+CostTotal!$F$13*E4</f>
        <v/>
      </c>
      <c r="F16" s="455">
        <f>CostTotal!$D$13+CostTotal!$F$13*F4</f>
        <v/>
      </c>
      <c r="G16" s="455">
        <f>CostTotal!$D$13+CostTotal!$F$13*G4</f>
        <v/>
      </c>
      <c r="H16" s="455">
        <f>CostTotal!$D$13+CostTotal!$F$13*H4</f>
        <v/>
      </c>
      <c r="I16" s="455">
        <f>CostTotal!$D$13+CostTotal!$F$13*I4</f>
        <v/>
      </c>
    </row>
    <row r="17" customFormat="1" s="11">
      <c r="B17" s="282" t="inlineStr">
        <is>
          <t>Davr xarajatlari</t>
        </is>
      </c>
      <c r="C17" s="457">
        <f>SUM(C11:C16)</f>
        <v/>
      </c>
      <c r="D17" s="457">
        <f>SUM(D11:D16)</f>
        <v/>
      </c>
      <c r="E17" s="457">
        <f>SUM(E11:E16)</f>
        <v/>
      </c>
      <c r="F17" s="457">
        <f>SUM(F11:F16)</f>
        <v/>
      </c>
      <c r="G17" s="457">
        <f>SUM(G11:G16)</f>
        <v/>
      </c>
      <c r="H17" s="457">
        <f>SUM(H11:H16)</f>
        <v/>
      </c>
      <c r="I17" s="457">
        <f>SUM(I11:I16)</f>
        <v/>
      </c>
    </row>
    <row r="18" customFormat="1" s="11">
      <c r="B18" s="282" t="inlineStr">
        <is>
          <t>Operatsion xarajatlar</t>
        </is>
      </c>
      <c r="C18" s="457">
        <f>+C10+C17</f>
        <v/>
      </c>
      <c r="D18" s="457">
        <f>+D10+D17</f>
        <v/>
      </c>
      <c r="E18" s="457">
        <f>+E10+E17</f>
        <v/>
      </c>
      <c r="F18" s="457">
        <f>+F10+F17</f>
        <v/>
      </c>
      <c r="G18" s="457">
        <f>+G10+G17</f>
        <v/>
      </c>
      <c r="H18" s="457">
        <f>+H10+H17</f>
        <v/>
      </c>
      <c r="I18" s="457">
        <f>+I10+I17</f>
        <v/>
      </c>
    </row>
    <row r="19">
      <c r="B19" s="285" t="inlineStr">
        <is>
          <t>Kredit foizlari</t>
        </is>
      </c>
      <c r="C19" s="457">
        <f>SUM(Loans!E12:E23)</f>
        <v/>
      </c>
      <c r="D19" s="457">
        <f>SUM(Loans!E24:E35)</f>
        <v/>
      </c>
      <c r="E19" s="457">
        <f>SUM(Loans!E36:E47)</f>
        <v/>
      </c>
      <c r="F19" s="455">
        <f>SUM(Loans!E48:E59)</f>
        <v/>
      </c>
      <c r="G19" s="455">
        <f>SUM(Loans!E60:E72)</f>
        <v/>
      </c>
      <c r="H19" s="455">
        <f>SUM(Loans!E72:E83)</f>
        <v/>
      </c>
      <c r="I19" s="455">
        <f>SUM(Loans!E84:E95)</f>
        <v/>
      </c>
    </row>
    <row r="20" ht="19.5" customFormat="1" customHeight="1" s="11">
      <c r="B20" s="282" t="inlineStr">
        <is>
          <t>Jami moliyaviy xarajatlar</t>
        </is>
      </c>
      <c r="C20" s="457">
        <f>SUM(C19:C19)</f>
        <v/>
      </c>
      <c r="D20" s="457">
        <f>SUM(Loans!E24:E35)</f>
        <v/>
      </c>
      <c r="E20" s="457">
        <f>SUM(E19)</f>
        <v/>
      </c>
      <c r="F20" s="457">
        <f>SUM(F19)</f>
        <v/>
      </c>
      <c r="G20" s="457">
        <f>SUM(G19)</f>
        <v/>
      </c>
      <c r="H20" s="457">
        <f>SUM(Loans!E72:E83)</f>
        <v/>
      </c>
      <c r="I20" s="457">
        <f>SUM(Loans!E84:E95)</f>
        <v/>
      </c>
    </row>
    <row r="21" ht="36" customFormat="1" customHeight="1" s="11">
      <c r="B21" s="273" t="inlineStr">
        <is>
          <t>SOTILGAN MAHSULOTLARNING XARAJATLARI</t>
        </is>
      </c>
      <c r="C21" s="457">
        <f>C18+C20</f>
        <v/>
      </c>
      <c r="D21" s="457">
        <f>D18+D20</f>
        <v/>
      </c>
      <c r="E21" s="457">
        <f>E18+E20</f>
        <v/>
      </c>
      <c r="F21" s="457">
        <f>F18+F20</f>
        <v/>
      </c>
      <c r="G21" s="457">
        <f>G18+G20</f>
        <v/>
      </c>
      <c r="H21" s="457">
        <f>H18+H20</f>
        <v/>
      </c>
      <c r="I21" s="457">
        <f>I18+I20</f>
        <v/>
      </c>
    </row>
    <row r="23">
      <c r="C23" s="373" t="n"/>
      <c r="D23" s="373" t="n"/>
      <c r="E23" s="373" t="n"/>
    </row>
    <row r="24">
      <c r="B24" s="18" t="n"/>
    </row>
    <row r="25">
      <c r="B25" s="18" t="n"/>
    </row>
    <row r="26">
      <c r="B26" s="18" t="n"/>
    </row>
    <row r="27">
      <c r="B27" s="18" t="n"/>
    </row>
    <row r="28">
      <c r="B28" s="19" t="n"/>
    </row>
    <row r="29">
      <c r="B29" s="20" t="n"/>
    </row>
    <row r="30">
      <c r="B30" s="20" t="n"/>
    </row>
    <row r="31">
      <c r="B31" s="20" t="n"/>
    </row>
    <row r="32">
      <c r="B32" s="20" t="n"/>
    </row>
    <row r="33">
      <c r="B33" s="19" t="n"/>
    </row>
  </sheetData>
  <printOptions horizontalCentered="1" verticalCentered="1"/>
  <pageMargins left="0.3937007874015748" right="0.3937007874015748" top="0.3937007874015748" bottom="0.3937007874015748" header="0.5118110236220472" footer="0.5118110236220472"/>
  <pageSetup orientation="landscape" paperSize="9" scale="80"/>
</worksheet>
</file>

<file path=xl/worksheets/sheet13.xml><?xml version="1.0" encoding="utf-8"?>
<worksheet xmlns="http://schemas.openxmlformats.org/spreadsheetml/2006/main">
  <sheetPr codeName="Лист16">
    <outlinePr summaryBelow="1" summaryRight="1"/>
    <pageSetUpPr fitToPage="1"/>
  </sheetPr>
  <dimension ref="B1:N23"/>
  <sheetViews>
    <sheetView showGridLines="0" view="pageBreakPreview" zoomScale="70" zoomScaleNormal="75" zoomScaleSheetLayoutView="70" workbookViewId="0">
      <selection activeCell="D9" sqref="D9"/>
    </sheetView>
  </sheetViews>
  <sheetFormatPr baseColWidth="8" defaultRowHeight="15.75"/>
  <cols>
    <col width="7.875" customWidth="1" style="532" min="1" max="1"/>
    <col width="26.375" customWidth="1" style="528" min="2" max="2"/>
    <col width="12.5" customWidth="1" style="528" min="3" max="3"/>
    <col width="12.75" customWidth="1" style="528" min="4" max="4"/>
    <col width="13.75" customWidth="1" style="528" min="5" max="5"/>
    <col width="13.875" customWidth="1" style="528" min="6" max="7"/>
    <col width="13.125" customWidth="1" style="528" min="8" max="9"/>
    <col width="9" customWidth="1" style="528" min="10" max="14"/>
  </cols>
  <sheetData>
    <row r="1" ht="21.75" customHeight="1" s="532">
      <c r="B1" s="3" t="n"/>
      <c r="C1" s="4" t="n"/>
      <c r="D1" s="4" t="n"/>
      <c r="E1" s="23" t="n"/>
      <c r="F1" s="23" t="n"/>
    </row>
    <row r="2" ht="30" customHeight="1" s="532" thickBot="1">
      <c r="B2" s="112" t="inlineStr">
        <is>
          <t>KUTILAYOTGAN FOYDA VA ZARAR</t>
        </is>
      </c>
      <c r="F2" s="265" t="n"/>
      <c r="G2" s="265" t="inlineStr">
        <is>
          <t>12-ILOVA</t>
        </is>
      </c>
    </row>
    <row r="3" ht="17.25" customHeight="1" s="532" thickTop="1">
      <c r="B3" s="146" t="inlineStr">
        <is>
          <t>Ko'rsatgichlar</t>
        </is>
      </c>
      <c r="C3" s="131">
        <f>ProdPlan!C23</f>
        <v/>
      </c>
      <c r="D3" s="131">
        <f>ProdPlan!D23</f>
        <v/>
      </c>
      <c r="E3" s="131">
        <f>ProdPlan!E23</f>
        <v/>
      </c>
      <c r="F3" s="131">
        <f>ProdPlan!F23</f>
        <v/>
      </c>
      <c r="G3" s="131">
        <f>+ProdPlan!G23</f>
        <v/>
      </c>
      <c r="H3" s="131">
        <f>+ProdPlan!H23</f>
        <v/>
      </c>
      <c r="I3" s="131">
        <f>ProdPlan!I23</f>
        <v/>
      </c>
    </row>
    <row r="4" ht="22.15" customFormat="1" customHeight="1" s="11">
      <c r="B4" s="147" t="inlineStr">
        <is>
          <t>Sotishdan tushgan daromad</t>
        </is>
      </c>
      <c r="C4" s="471" t="n">
        <v>1260000000</v>
      </c>
      <c r="D4" s="471" t="n">
        <v>1350000000</v>
      </c>
      <c r="E4" s="471" t="n">
        <v>1440000000</v>
      </c>
      <c r="F4" s="471" t="n">
        <v>1530000000</v>
      </c>
      <c r="G4" s="471" t="n">
        <v>1620000000</v>
      </c>
      <c r="H4" s="471" t="n">
        <v>1710000000</v>
      </c>
      <c r="I4" s="471" t="n">
        <v>1800000000</v>
      </c>
      <c r="J4" s="2" t="n"/>
      <c r="K4" s="2" t="n"/>
      <c r="L4" s="2" t="n"/>
      <c r="M4" s="2" t="n"/>
      <c r="N4" s="2" t="n"/>
    </row>
    <row r="5" ht="24.75" customHeight="1" s="532">
      <c r="B5" s="148" t="inlineStr">
        <is>
          <t>Налог на потребление ГСМ</t>
        </is>
      </c>
      <c r="C5" s="472">
        <f>Taxes!E5</f>
        <v/>
      </c>
      <c r="D5" s="472">
        <f>Taxes!F5</f>
        <v/>
      </c>
      <c r="E5" s="472">
        <f>Taxes!G5</f>
        <v/>
      </c>
      <c r="F5" s="472">
        <f>Taxes!H5</f>
        <v/>
      </c>
      <c r="G5" s="472" t="n"/>
      <c r="H5" s="472" t="n"/>
      <c r="I5" s="472" t="n"/>
    </row>
    <row r="6" ht="22.15" customFormat="1" customHeight="1" s="11">
      <c r="B6" s="149" t="inlineStr">
        <is>
          <t>Sof sotishdan tushgan daromad</t>
        </is>
      </c>
      <c r="C6" s="473" t="n">
        <v>1260000000</v>
      </c>
      <c r="D6" s="473" t="n">
        <v>1350000000</v>
      </c>
      <c r="E6" s="473" t="n">
        <v>1440000000</v>
      </c>
      <c r="F6" s="473" t="n">
        <v>1530000000</v>
      </c>
      <c r="G6" s="473" t="n">
        <v>1620000000</v>
      </c>
      <c r="H6" s="473" t="n">
        <v>1710000000</v>
      </c>
      <c r="I6" s="473" t="n">
        <v>1800000000</v>
      </c>
      <c r="J6" s="2" t="n"/>
      <c r="K6" s="2" t="n"/>
      <c r="L6" s="2" t="n"/>
      <c r="M6" s="2" t="n"/>
      <c r="N6" s="2" t="n"/>
    </row>
    <row r="7" ht="22.15" customHeight="1" s="532">
      <c r="B7" s="148" t="inlineStr">
        <is>
          <t>xizmatlar</t>
        </is>
      </c>
      <c r="C7" s="472" t="n">
        <v>928080000</v>
      </c>
      <c r="D7" s="472" t="n">
        <v>958080000</v>
      </c>
      <c r="E7" s="472" t="n">
        <v>988080000</v>
      </c>
      <c r="F7" s="472" t="n">
        <v>1018080000</v>
      </c>
      <c r="G7" s="472" t="n">
        <v>1048080000</v>
      </c>
      <c r="H7" s="472" t="n">
        <v>1078080000</v>
      </c>
      <c r="I7" s="472" t="n">
        <v>1083080000</v>
      </c>
    </row>
    <row r="8" ht="22.15" customFormat="1" customHeight="1" s="11">
      <c r="B8" s="149" t="inlineStr">
        <is>
          <t>Umumiy daromad</t>
        </is>
      </c>
      <c r="C8" s="473" t="n">
        <v>331920000</v>
      </c>
      <c r="D8" s="473" t="n">
        <v>391920000</v>
      </c>
      <c r="E8" s="473" t="n">
        <v>451920000</v>
      </c>
      <c r="F8" s="473" t="n">
        <v>511920000</v>
      </c>
      <c r="G8" s="473" t="n">
        <v>571920000</v>
      </c>
      <c r="H8" s="473" t="n">
        <v>631920000</v>
      </c>
      <c r="I8" s="473" t="n">
        <v>716920000</v>
      </c>
      <c r="J8" s="2" t="n"/>
      <c r="K8" s="2" t="n"/>
      <c r="L8" s="2" t="n"/>
      <c r="M8" s="2" t="n"/>
      <c r="N8" s="2" t="n"/>
    </row>
    <row r="9" ht="22.15" customHeight="1" s="532">
      <c r="B9" s="148" t="inlineStr">
        <is>
          <t>Ma'muriy xarajatlar</t>
        </is>
      </c>
      <c r="C9" s="472">
        <f>CostSold!C11+CostSold!C12</f>
        <v/>
      </c>
      <c r="D9" s="472">
        <f>CostSold!D11+CostSold!D12</f>
        <v/>
      </c>
      <c r="E9" s="472">
        <f>CostSold!E11+CostSold!E12</f>
        <v/>
      </c>
      <c r="F9" s="472">
        <f>CostSold!F11+CostSold!F12</f>
        <v/>
      </c>
      <c r="G9" s="472">
        <f>CostSold!G11+CostSold!G12</f>
        <v/>
      </c>
      <c r="H9" s="472">
        <f>CostSold!H11+CostSold!H12</f>
        <v/>
      </c>
      <c r="I9" s="472">
        <f>CostSold!I11+CostSold!I12</f>
        <v/>
      </c>
    </row>
    <row r="10" ht="22.15" customHeight="1" s="532">
      <c r="B10" s="150" t="inlineStr">
        <is>
          <t>Marketing xarajatlar</t>
        </is>
      </c>
      <c r="C10" s="472">
        <f>CostSold!C15</f>
        <v/>
      </c>
      <c r="D10" s="472">
        <f>CostSold!D15</f>
        <v/>
      </c>
      <c r="E10" s="472">
        <f>CostSold!E15</f>
        <v/>
      </c>
      <c r="F10" s="472">
        <f>CostSold!F15</f>
        <v/>
      </c>
      <c r="G10" s="472">
        <f>CostSold!G15</f>
        <v/>
      </c>
      <c r="H10" s="472">
        <f>CostSold!H15</f>
        <v/>
      </c>
      <c r="I10" s="472">
        <f>CostSold!I15</f>
        <v/>
      </c>
    </row>
    <row r="11" ht="22.15" customHeight="1" s="532">
      <c r="B11" s="151" t="inlineStr">
        <is>
          <t>Boshqa xarajatlar</t>
        </is>
      </c>
      <c r="C11" s="472">
        <f>+CostSold!C13+CostSold!C14+CostSold!C16</f>
        <v/>
      </c>
      <c r="D11" s="472">
        <f>+CostSold!D13+CostSold!D14+CostSold!D16</f>
        <v/>
      </c>
      <c r="E11" s="472">
        <f>+CostSold!E13+CostSold!E14+CostSold!E16</f>
        <v/>
      </c>
      <c r="F11" s="472">
        <f>+CostSold!F13+CostSold!F14+CostSold!F16</f>
        <v/>
      </c>
      <c r="G11" s="472">
        <f>+CostSold!G13+CostSold!G14+CostSold!G16</f>
        <v/>
      </c>
      <c r="H11" s="472">
        <f>+CostSold!H13+CostSold!H14+CostSold!H16</f>
        <v/>
      </c>
      <c r="I11" s="472">
        <f>+CostSold!I13+CostSold!I14+CostSold!I16</f>
        <v/>
      </c>
    </row>
    <row r="12" ht="22.15" customFormat="1" customHeight="1" s="11">
      <c r="B12" s="149" t="inlineStr">
        <is>
          <t>Operatsion foyda</t>
        </is>
      </c>
      <c r="C12" s="473" t="n">
        <v>170220000</v>
      </c>
      <c r="D12" s="473" t="n">
        <v>223470000</v>
      </c>
      <c r="E12" s="473" t="n">
        <v>276720000</v>
      </c>
      <c r="F12" s="473" t="n">
        <v>329970000</v>
      </c>
      <c r="G12" s="473" t="n">
        <v>383220000</v>
      </c>
      <c r="H12" s="473" t="n">
        <v>436470000</v>
      </c>
      <c r="I12" s="473" t="n">
        <v>514720000</v>
      </c>
      <c r="J12" s="2" t="n"/>
      <c r="K12" s="2" t="n"/>
      <c r="L12" s="2" t="n"/>
      <c r="M12" s="2" t="n"/>
      <c r="N12" s="2" t="n"/>
    </row>
    <row r="13" ht="22.15" customHeight="1" s="532">
      <c r="B13" s="148" t="inlineStr">
        <is>
          <t>Moliyaviy xarajatlar</t>
        </is>
      </c>
      <c r="C13" s="472" t="n">
        <v>48506687.19</v>
      </c>
      <c r="D13" s="472" t="n">
        <v>44217072.95</v>
      </c>
      <c r="E13" s="472" t="n">
        <v>38529013.75</v>
      </c>
      <c r="F13" s="472" t="n">
        <v>31991488.21</v>
      </c>
      <c r="G13" s="472" t="n">
        <v>24477635.42</v>
      </c>
      <c r="H13" s="472" t="n">
        <v>15841648.55</v>
      </c>
      <c r="I13" s="472" t="n">
        <v>5915945.87</v>
      </c>
    </row>
    <row r="14" ht="25.5" customFormat="1" customHeight="1" s="11">
      <c r="B14" s="149" t="inlineStr">
        <is>
          <t>Soliq to'laguncha foyda</t>
        </is>
      </c>
      <c r="C14" s="473" t="n">
        <v>121713312.81</v>
      </c>
      <c r="D14" s="473" t="n">
        <v>179252927.05</v>
      </c>
      <c r="E14" s="473" t="n">
        <v>238190986.25</v>
      </c>
      <c r="F14" s="473" t="n">
        <v>297978511.79</v>
      </c>
      <c r="G14" s="473" t="n">
        <v>358742364.58</v>
      </c>
      <c r="H14" s="473" t="n">
        <v>420628351.45</v>
      </c>
      <c r="I14" s="473" t="n">
        <v>508804054.13</v>
      </c>
      <c r="J14" s="2" t="n"/>
      <c r="K14" s="2" t="n"/>
      <c r="L14" s="2" t="n"/>
      <c r="M14" s="2" t="n"/>
      <c r="N14" s="2" t="n"/>
    </row>
    <row r="15" ht="22.15" customHeight="1" s="532">
      <c r="B15" s="148" t="inlineStr">
        <is>
          <t>soliqlar</t>
        </is>
      </c>
      <c r="C15" s="474" t="n">
        <v>50400000</v>
      </c>
      <c r="D15" s="474" t="n">
        <v>54000000</v>
      </c>
      <c r="E15" s="474" t="n">
        <v>57600000</v>
      </c>
      <c r="F15" s="474" t="n">
        <v>61200000</v>
      </c>
      <c r="G15" s="474" t="n">
        <v>64800000</v>
      </c>
      <c r="H15" s="474" t="n">
        <v>68400000</v>
      </c>
      <c r="I15" s="474" t="n">
        <v>72000000</v>
      </c>
    </row>
    <row r="16" hidden="1" ht="22.15" customHeight="1" s="532">
      <c r="B16" s="148" t="inlineStr">
        <is>
          <t>Прочие налоги и отчисления</t>
        </is>
      </c>
      <c r="C16" s="472">
        <f>Taxes!E16</f>
        <v/>
      </c>
      <c r="D16" s="472">
        <f>Taxes!F16</f>
        <v/>
      </c>
      <c r="E16" s="472">
        <f>Taxes!G16</f>
        <v/>
      </c>
      <c r="F16" s="472">
        <f>Taxes!H16</f>
        <v/>
      </c>
      <c r="G16" s="472" t="n"/>
      <c r="H16" s="472" t="n"/>
      <c r="I16" s="472" t="n"/>
    </row>
    <row r="17" ht="22.15" customFormat="1" customHeight="1" s="11">
      <c r="B17" s="149" t="inlineStr">
        <is>
          <t>Sof daromad</t>
        </is>
      </c>
      <c r="C17" s="473" t="n">
        <v>71313312.81</v>
      </c>
      <c r="D17" s="473" t="n">
        <v>125252927.05</v>
      </c>
      <c r="E17" s="473" t="n">
        <v>180590986.25</v>
      </c>
      <c r="F17" s="473" t="n">
        <v>236778511.79</v>
      </c>
      <c r="G17" s="473" t="n">
        <v>293942364.58</v>
      </c>
      <c r="H17" s="473" t="n">
        <v>352228351.45</v>
      </c>
      <c r="I17" s="473" t="n">
        <v>436804054.13</v>
      </c>
      <c r="J17" s="2" t="n"/>
      <c r="K17" s="2" t="n"/>
      <c r="L17" s="2" t="n"/>
      <c r="M17" s="2" t="n"/>
      <c r="N17" s="2" t="n"/>
    </row>
    <row r="18" ht="24.75" customFormat="1" customHeight="1" s="11">
      <c r="B18" s="152" t="inlineStr">
        <is>
          <t>Rentabillik ko'rsatgichlari</t>
        </is>
      </c>
      <c r="C18" s="475" t="n"/>
      <c r="D18" s="475" t="n"/>
      <c r="E18" s="476" t="n"/>
      <c r="F18" s="476" t="n"/>
      <c r="G18" s="476" t="n"/>
      <c r="H18" s="476" t="n"/>
      <c r="I18" s="476" t="n"/>
      <c r="J18" s="2" t="n"/>
      <c r="K18" s="2" t="n"/>
      <c r="L18" s="2" t="n"/>
      <c r="M18" s="2" t="n"/>
      <c r="N18" s="2" t="n"/>
    </row>
    <row r="19" ht="24" customHeight="1" s="532">
      <c r="B19" s="153" t="inlineStr">
        <is>
          <t>Sof rentabillik</t>
        </is>
      </c>
      <c r="C19" s="477">
        <f>C17/C6</f>
        <v/>
      </c>
      <c r="D19" s="477">
        <f>D17/D6</f>
        <v/>
      </c>
      <c r="E19" s="477">
        <f>E17/E6</f>
        <v/>
      </c>
      <c r="F19" s="477">
        <f>F17/F6</f>
        <v/>
      </c>
      <c r="G19" s="477">
        <f>G17/G6</f>
        <v/>
      </c>
      <c r="H19" s="477">
        <f>H17/H6</f>
        <v/>
      </c>
      <c r="I19" s="477">
        <f>I17/I6</f>
        <v/>
      </c>
    </row>
    <row r="20" ht="23.25" customHeight="1" s="532" thickBot="1">
      <c r="B20" s="6" t="inlineStr">
        <is>
          <t>Yalpi rentabillik</t>
        </is>
      </c>
      <c r="C20" s="478">
        <f>C8/C6</f>
        <v/>
      </c>
      <c r="D20" s="478">
        <f>D8/D6</f>
        <v/>
      </c>
      <c r="E20" s="478">
        <f>E8/E6</f>
        <v/>
      </c>
      <c r="F20" s="478">
        <f>F8/F6</f>
        <v/>
      </c>
      <c r="G20" s="478">
        <f>G8/G6</f>
        <v/>
      </c>
      <c r="H20" s="478">
        <f>H8/H6</f>
        <v/>
      </c>
      <c r="I20" s="478">
        <f>I8/I6</f>
        <v/>
      </c>
    </row>
    <row r="21" ht="16.5" customHeight="1" s="532" thickTop="1"/>
    <row r="22">
      <c r="C22" s="123" t="n"/>
      <c r="D22" s="123" t="n"/>
      <c r="E22" s="123" t="n"/>
      <c r="F22" s="123" t="n"/>
    </row>
    <row r="23">
      <c r="C23" s="123" t="n"/>
    </row>
  </sheetData>
  <printOptions horizontalCentered="1" verticalCentered="1"/>
  <pageMargins left="0.3937007874015748" right="0.3937007874015748" top="0.3937007874015748" bottom="0.3937007874015748" header="0.5118110236220472" footer="0.5118110236220472"/>
  <pageSetup orientation="landscape" paperSize="9" scale="65"/>
  <drawing xmlns:r="http://schemas.openxmlformats.org/officeDocument/2006/relationships" r:id="rId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Лист15">
    <outlinePr summaryBelow="1" summaryRight="1"/>
    <pageSetUpPr fitToPage="1"/>
  </sheetPr>
  <dimension ref="B1:J27"/>
  <sheetViews>
    <sheetView showGridLines="0" view="pageBreakPreview" zoomScale="84" zoomScaleNormal="100" zoomScaleSheetLayoutView="84" workbookViewId="0">
      <selection activeCell="G14" sqref="G14"/>
    </sheetView>
  </sheetViews>
  <sheetFormatPr baseColWidth="8" defaultColWidth="8.75" defaultRowHeight="15"/>
  <cols>
    <col width="4.75" customWidth="1" style="528" min="1" max="1"/>
    <col width="23.75" customWidth="1" style="528" min="2" max="2"/>
    <col width="0.125" customWidth="1" style="528" min="3" max="3"/>
    <col width="14.75" customWidth="1" style="528" min="4" max="10"/>
    <col width="8.75" customWidth="1" style="528" min="11" max="43"/>
    <col width="8.75" customWidth="1" style="528" min="44" max="16384"/>
  </cols>
  <sheetData>
    <row r="1" ht="18.75" customHeight="1" s="532">
      <c r="B1" s="22" t="n"/>
      <c r="C1" s="4" t="n"/>
      <c r="D1" s="4" t="n"/>
      <c r="E1" s="4" t="n"/>
      <c r="G1" s="23" t="n"/>
      <c r="H1" s="23" t="n"/>
    </row>
    <row r="2" ht="21" customHeight="1" s="532" thickBot="1">
      <c r="B2" s="112" t="inlineStr">
        <is>
          <t>PUL OQIMI</t>
        </is>
      </c>
      <c r="G2" s="266" t="n"/>
      <c r="H2" s="266" t="inlineStr">
        <is>
          <t>13-ILOVA</t>
        </is>
      </c>
    </row>
    <row r="3" ht="15.75" customHeight="1" s="532" thickTop="1">
      <c r="B3" s="129" t="inlineStr">
        <is>
          <t>Ko'rsatgichlar</t>
        </is>
      </c>
      <c r="C3" s="141" t="inlineStr">
        <is>
          <t>0 год</t>
        </is>
      </c>
      <c r="D3" s="141">
        <f>ProdPlan!C23</f>
        <v/>
      </c>
      <c r="E3" s="141">
        <f>ProdPlan!D23</f>
        <v/>
      </c>
      <c r="F3" s="141">
        <f>ProdPlan!E23</f>
        <v/>
      </c>
      <c r="G3" s="141">
        <f>ProdPlan!F23</f>
        <v/>
      </c>
      <c r="H3" s="310">
        <f>ProdPlan!G23</f>
        <v/>
      </c>
      <c r="I3" s="141">
        <f>ProdPlan!H23</f>
        <v/>
      </c>
      <c r="J3" s="141">
        <f>ProdPlan!I23</f>
        <v/>
      </c>
    </row>
    <row r="4" ht="19.15" customHeight="1" s="532">
      <c r="B4" s="114" t="inlineStr">
        <is>
          <t>Sotishdan tushgan tushum</t>
        </is>
      </c>
      <c r="C4" s="25" t="n">
        <v>0</v>
      </c>
      <c r="D4" s="479" t="n">
        <v>1260000000</v>
      </c>
      <c r="E4" s="479" t="n">
        <v>1350000000</v>
      </c>
      <c r="F4" s="479" t="n">
        <v>1440000000</v>
      </c>
      <c r="G4" s="479" t="n">
        <v>1530000000</v>
      </c>
      <c r="H4" s="479" t="n">
        <v>1620000000</v>
      </c>
      <c r="I4" s="479" t="n">
        <v>1710000000</v>
      </c>
      <c r="J4" s="479" t="n">
        <v>1800000000</v>
      </c>
    </row>
    <row r="5" hidden="1" ht="15" customHeight="1" s="532">
      <c r="B5" s="35">
        <f>ProfLoss!B5</f>
        <v/>
      </c>
      <c r="C5" s="30">
        <f>(C4*120%)/20%</f>
        <v/>
      </c>
      <c r="D5" s="479">
        <f>ProfLoss!C5</f>
        <v/>
      </c>
      <c r="E5" s="479">
        <f>ProfLoss!D5</f>
        <v/>
      </c>
      <c r="F5" s="479">
        <f>ProfLoss!E5</f>
        <v/>
      </c>
      <c r="G5" s="479">
        <f>ProfLoss!F5</f>
        <v/>
      </c>
      <c r="H5" s="480" t="n"/>
      <c r="I5" s="480" t="n"/>
      <c r="J5" s="480" t="n"/>
    </row>
    <row r="6" hidden="1" ht="15" customHeight="1" s="532">
      <c r="B6" s="35" t="n"/>
      <c r="C6" s="26" t="n"/>
      <c r="D6" s="479" t="n"/>
      <c r="E6" s="479" t="n"/>
      <c r="F6" s="479" t="n"/>
      <c r="G6" s="479" t="n"/>
      <c r="H6" s="480" t="n"/>
      <c r="I6" s="480" t="n"/>
      <c r="J6" s="480" t="n"/>
    </row>
    <row r="7" ht="19.15" customFormat="1" customHeight="1" s="2">
      <c r="B7" s="142" t="inlineStr">
        <is>
          <t>Sotishdan tushgan naqd pul</t>
        </is>
      </c>
      <c r="C7" s="27">
        <f>C4-C6</f>
        <v/>
      </c>
      <c r="D7" s="481" t="n">
        <v>1260000000</v>
      </c>
      <c r="E7" s="481" t="n">
        <v>1350000000</v>
      </c>
      <c r="F7" s="481" t="n">
        <v>1440000000</v>
      </c>
      <c r="G7" s="481" t="n">
        <v>1530000000</v>
      </c>
      <c r="H7" s="481" t="n">
        <v>1620000000</v>
      </c>
      <c r="I7" s="481" t="n">
        <v>1710000000</v>
      </c>
      <c r="J7" s="481" t="n">
        <v>1800000000</v>
      </c>
    </row>
    <row r="8" ht="30" customHeight="1" s="532">
      <c r="B8" s="143" t="inlineStr">
        <is>
          <t>Xizmatning bevosita xarajatlari</t>
        </is>
      </c>
      <c r="C8" s="28" t="n">
        <v>0</v>
      </c>
      <c r="D8" s="482" t="n">
        <v>928080000</v>
      </c>
      <c r="E8" s="482" t="n">
        <v>958080000</v>
      </c>
      <c r="F8" s="482" t="n">
        <v>988080000</v>
      </c>
      <c r="G8" s="482" t="n">
        <v>1018080000</v>
      </c>
      <c r="H8" s="482" t="n">
        <v>1048080000</v>
      </c>
      <c r="I8" s="482" t="n">
        <v>1078080000</v>
      </c>
      <c r="J8" s="482" t="n">
        <v>1083080000</v>
      </c>
    </row>
    <row r="9" ht="14.25" customFormat="1" customHeight="1" s="2">
      <c r="B9" s="144" t="inlineStr">
        <is>
          <t>Yalpi pul tushumi</t>
        </is>
      </c>
      <c r="C9" s="29">
        <f>C7-C8</f>
        <v/>
      </c>
      <c r="D9" s="483" t="n">
        <v>331920000</v>
      </c>
      <c r="E9" s="483" t="n">
        <v>391920000</v>
      </c>
      <c r="F9" s="483" t="n">
        <v>451920000</v>
      </c>
      <c r="G9" s="483" t="n">
        <v>511920000</v>
      </c>
      <c r="H9" s="483" t="n">
        <v>571920000</v>
      </c>
      <c r="I9" s="483" t="n">
        <v>631920000</v>
      </c>
      <c r="J9" s="483" t="n">
        <v>716920000</v>
      </c>
    </row>
    <row r="10" ht="19.15" customHeight="1" s="532">
      <c r="B10" s="114" t="inlineStr">
        <is>
          <t>Amortizatsiya</t>
        </is>
      </c>
      <c r="C10" s="25" t="n">
        <v>0</v>
      </c>
      <c r="D10" s="484">
        <f>Depreciate!E7</f>
        <v/>
      </c>
      <c r="E10" s="484">
        <f>Depreciate!F7</f>
        <v/>
      </c>
      <c r="F10" s="484">
        <f>Depreciate!G7</f>
        <v/>
      </c>
      <c r="G10" s="484">
        <f>Depreciate!H7</f>
        <v/>
      </c>
      <c r="H10" s="484">
        <f>Depreciate!I7</f>
        <v/>
      </c>
      <c r="I10" s="484">
        <f>Depreciate!J7</f>
        <v/>
      </c>
      <c r="J10" s="484">
        <f>Depreciate!K7</f>
        <v/>
      </c>
    </row>
    <row r="11" ht="19.15" customHeight="1" s="532">
      <c r="B11" s="35" t="inlineStr">
        <is>
          <t>Marketing xarajatlar</t>
        </is>
      </c>
      <c r="C11" s="30" t="n">
        <v>0</v>
      </c>
      <c r="D11" s="485">
        <f>CostSold!C15</f>
        <v/>
      </c>
      <c r="E11" s="485">
        <f>CostSold!D15</f>
        <v/>
      </c>
      <c r="F11" s="485">
        <f>CostSold!E15</f>
        <v/>
      </c>
      <c r="G11" s="485">
        <f>CostSold!F15</f>
        <v/>
      </c>
      <c r="H11" s="485">
        <f>CostSold!G15</f>
        <v/>
      </c>
      <c r="I11" s="485">
        <f>CostSold!H15</f>
        <v/>
      </c>
      <c r="J11" s="485">
        <f>CostSold!I15</f>
        <v/>
      </c>
    </row>
    <row r="12" ht="19.15" customHeight="1" s="532">
      <c r="B12" s="35" t="inlineStr">
        <is>
          <t>Ma'muriy xarajatlar</t>
        </is>
      </c>
      <c r="C12" s="30" t="n">
        <v>0</v>
      </c>
      <c r="D12" s="485">
        <f>CostSold!C11+CostSold!C12</f>
        <v/>
      </c>
      <c r="E12" s="485">
        <f>CostSold!D11+CostSold!D12</f>
        <v/>
      </c>
      <c r="F12" s="485">
        <f>CostSold!E11+CostSold!E12</f>
        <v/>
      </c>
      <c r="G12" s="485">
        <f>CostSold!F11+CostSold!F12</f>
        <v/>
      </c>
      <c r="H12" s="485">
        <f>CostSold!G11+CostSold!G12</f>
        <v/>
      </c>
      <c r="I12" s="485">
        <f>CostSold!H11+CostSold!H12</f>
        <v/>
      </c>
      <c r="J12" s="485">
        <f>CostSold!I11+CostSold!I12</f>
        <v/>
      </c>
    </row>
    <row r="13" ht="19.15" customHeight="1" s="532">
      <c r="B13" s="143" t="inlineStr">
        <is>
          <t>Boshqa xarajatlar</t>
        </is>
      </c>
      <c r="C13" s="28" t="n">
        <v>0</v>
      </c>
      <c r="D13" s="486">
        <f>ProfLoss!C11</f>
        <v/>
      </c>
      <c r="E13" s="486">
        <f>ProfLoss!D11</f>
        <v/>
      </c>
      <c r="F13" s="486">
        <f>ProfLoss!E11</f>
        <v/>
      </c>
      <c r="G13" s="486">
        <f>ProfLoss!F11</f>
        <v/>
      </c>
      <c r="H13" s="486">
        <f>ProfLoss!G11</f>
        <v/>
      </c>
      <c r="I13" s="486">
        <f>ProfLoss!H11</f>
        <v/>
      </c>
      <c r="J13" s="486">
        <f>ProfLoss!I11</f>
        <v/>
      </c>
    </row>
    <row r="14" ht="14.25" customFormat="1" customHeight="1" s="2">
      <c r="B14" s="144" t="inlineStr">
        <is>
          <t>Operatsion pul oqimi</t>
        </is>
      </c>
      <c r="C14" s="29">
        <f>C9+C10-C11-C12-C13</f>
        <v/>
      </c>
      <c r="D14" s="483" t="n">
        <v>245220000</v>
      </c>
      <c r="E14" s="483" t="n">
        <v>298470000</v>
      </c>
      <c r="F14" s="483" t="n">
        <v>351720000</v>
      </c>
      <c r="G14" s="483" t="n">
        <v>404970000</v>
      </c>
      <c r="H14" s="483" t="n">
        <v>458220000</v>
      </c>
      <c r="I14" s="483" t="n">
        <v>511470000</v>
      </c>
      <c r="J14" s="483" t="n">
        <v>589720000</v>
      </c>
    </row>
    <row r="15" hidden="1" ht="15" customHeight="1" s="532">
      <c r="B15" s="114" t="inlineStr">
        <is>
          <t>Собственные средства</t>
        </is>
      </c>
      <c r="C15" s="31" t="n">
        <v>-500000000</v>
      </c>
      <c r="D15" s="484" t="n">
        <v>0</v>
      </c>
      <c r="E15" s="484" t="n"/>
      <c r="F15" s="484" t="n"/>
      <c r="G15" s="484" t="n"/>
      <c r="H15" s="487" t="n"/>
      <c r="I15" s="487" t="n"/>
      <c r="J15" s="487" t="n"/>
    </row>
    <row r="16" hidden="1" ht="15" customHeight="1" s="532">
      <c r="B16" s="35" t="inlineStr">
        <is>
          <t>Инвестиции в основной капитал</t>
        </is>
      </c>
      <c r="C16" s="32">
        <f>'Share of Costs'!G6</f>
        <v/>
      </c>
      <c r="D16" s="479" t="n"/>
      <c r="E16" s="479" t="n"/>
      <c r="F16" s="479" t="n"/>
      <c r="G16" s="479" t="n"/>
      <c r="H16" s="480" t="n"/>
      <c r="I16" s="480" t="n"/>
      <c r="J16" s="480" t="n"/>
    </row>
    <row r="17" hidden="1" ht="15" customHeight="1" s="532">
      <c r="B17" s="35" t="inlineStr">
        <is>
          <t>Финансовые издержки</t>
        </is>
      </c>
      <c r="C17" s="32">
        <f>'Share of Costs'!C10</f>
        <v/>
      </c>
      <c r="D17" s="485" t="n"/>
      <c r="E17" s="485" t="n"/>
      <c r="F17" s="485" t="n"/>
      <c r="G17" s="485" t="n"/>
      <c r="H17" s="488" t="n"/>
      <c r="I17" s="488" t="n"/>
      <c r="J17" s="488" t="n"/>
    </row>
    <row r="18" customFormat="1" s="527">
      <c r="B18" s="458" t="inlineStr">
        <is>
          <t>Foiz to'lovlari</t>
        </is>
      </c>
      <c r="C18" s="459" t="n"/>
      <c r="D18" s="479" t="n">
        <v>48506687.19</v>
      </c>
      <c r="E18" s="479" t="n">
        <v>44217072.95</v>
      </c>
      <c r="F18" s="479" t="n">
        <v>38529013.75</v>
      </c>
      <c r="G18" s="479" t="n">
        <v>31991488.21</v>
      </c>
      <c r="H18" s="479" t="n">
        <v>24477635.42</v>
      </c>
      <c r="I18" s="479" t="n">
        <v>15841648.55</v>
      </c>
      <c r="J18" s="479" t="n">
        <v>5915945.87</v>
      </c>
    </row>
    <row r="19">
      <c r="B19" s="143" t="inlineStr">
        <is>
          <t>Soliqlar</t>
        </is>
      </c>
      <c r="C19" s="28" t="n">
        <v>0</v>
      </c>
      <c r="D19" s="486" t="n">
        <v>50400000</v>
      </c>
      <c r="E19" s="486" t="n">
        <v>54000000</v>
      </c>
      <c r="F19" s="486" t="n">
        <v>57600000</v>
      </c>
      <c r="G19" s="486" t="n">
        <v>61200000</v>
      </c>
      <c r="H19" s="486" t="n">
        <v>64800000</v>
      </c>
      <c r="I19" s="486" t="n">
        <v>68400000</v>
      </c>
      <c r="J19" s="486" t="n">
        <v>72000000</v>
      </c>
    </row>
    <row r="20" ht="14.25" customFormat="1" customHeight="1" s="2">
      <c r="B20" s="144" t="inlineStr">
        <is>
          <t>Sof pul oqimi</t>
        </is>
      </c>
      <c r="C20" s="29">
        <f>C14+C15-C16-C17-C18-C19</f>
        <v/>
      </c>
      <c r="D20" s="483">
        <f>D14+D15-D16-D17-D18-D19</f>
        <v/>
      </c>
      <c r="E20" s="483">
        <f>E14-E15-E16-E17-E18-E19</f>
        <v/>
      </c>
      <c r="F20" s="483">
        <f>F14-F15-F16-F17-F18-F19</f>
        <v/>
      </c>
      <c r="G20" s="483">
        <f>G14-G15-G16-G17-G18-G19</f>
        <v/>
      </c>
      <c r="H20" s="483">
        <f>H14-H15-H16-H17-H18-H19</f>
        <v/>
      </c>
      <c r="I20" s="483">
        <f>I14-I15-I16-I17-I18-I19</f>
        <v/>
      </c>
      <c r="J20" s="483">
        <f>J14-J15-J16-J17-J18-J19</f>
        <v/>
      </c>
    </row>
    <row r="21" hidden="1" ht="15" customFormat="1" customHeight="1" s="2">
      <c r="B21" s="145" t="n"/>
      <c r="C21" s="164" t="n"/>
      <c r="D21" s="489" t="n"/>
      <c r="E21" s="489" t="n"/>
      <c r="F21" s="489" t="n"/>
      <c r="G21" s="489" t="n"/>
      <c r="H21" s="490" t="n"/>
      <c r="I21" s="490" t="n"/>
      <c r="J21" s="490" t="n"/>
    </row>
    <row r="22" customFormat="1" s="527">
      <c r="B22" s="460" t="inlineStr">
        <is>
          <t>Asosiy qarz to'lovi</t>
        </is>
      </c>
      <c r="C22" s="461" t="n"/>
      <c r="D22" s="484">
        <f>SUM(Loans!C12:C23)</f>
        <v/>
      </c>
      <c r="E22" s="484">
        <f>SUM(Loans!C24:C35)</f>
        <v/>
      </c>
      <c r="F22" s="484">
        <f>SUM(Loans!C36:C47)</f>
        <v/>
      </c>
      <c r="G22" s="485">
        <f>SUM(Loans!C48:C59)</f>
        <v/>
      </c>
      <c r="H22" s="484">
        <f>SUM(Loans!C60:C71)</f>
        <v/>
      </c>
      <c r="I22" s="484">
        <f>SUM(Loans!C72:C83)</f>
        <v/>
      </c>
      <c r="J22" s="484">
        <f>SUM(Loans!C84:C95)</f>
        <v/>
      </c>
    </row>
    <row r="23" ht="28.5" customFormat="1" customHeight="1" s="2">
      <c r="B23" s="142" t="inlineStr">
        <is>
          <t>Kredit to'langanidan keyin naqd pul</t>
        </is>
      </c>
      <c r="C23" s="27">
        <f>C20-C22</f>
        <v/>
      </c>
      <c r="D23" s="491">
        <f>D20-D22</f>
        <v/>
      </c>
      <c r="E23" s="491">
        <f>E20-E22</f>
        <v/>
      </c>
      <c r="F23" s="491">
        <f>F20-F22</f>
        <v/>
      </c>
      <c r="G23" s="491">
        <f>G20-G22</f>
        <v/>
      </c>
      <c r="H23" s="491">
        <f>H20-H22</f>
        <v/>
      </c>
      <c r="I23" s="491">
        <f>I20-I22</f>
        <v/>
      </c>
      <c r="J23" s="491">
        <f>J20-J22</f>
        <v/>
      </c>
    </row>
    <row r="24" ht="19.15" customHeight="1" s="532">
      <c r="B24" s="143" t="inlineStr">
        <is>
          <t>Moliyaviy so'rovlar</t>
        </is>
      </c>
      <c r="C24" s="33">
        <f>-C23</f>
        <v/>
      </c>
      <c r="D24" s="486" t="n"/>
      <c r="E24" s="486" t="n"/>
      <c r="F24" s="486" t="n"/>
      <c r="G24" s="486" t="n"/>
      <c r="H24" s="492" t="n"/>
      <c r="I24" s="492" t="n"/>
      <c r="J24" s="492" t="n"/>
    </row>
    <row r="25" hidden="1" ht="14.25" customFormat="1" customHeight="1" s="2">
      <c r="B25" s="144" t="inlineStr">
        <is>
          <t>Поток наличности</t>
        </is>
      </c>
      <c r="C25" s="29">
        <f>C23+C24</f>
        <v/>
      </c>
      <c r="D25" s="483">
        <f>D23-D24</f>
        <v/>
      </c>
      <c r="E25" s="483">
        <f>E23-E24</f>
        <v/>
      </c>
      <c r="F25" s="483">
        <f>F23-F24</f>
        <v/>
      </c>
      <c r="G25" s="483">
        <f>G23-G24</f>
        <v/>
      </c>
      <c r="H25" s="493" t="n"/>
      <c r="I25" s="493" t="n"/>
      <c r="J25" s="493" t="n"/>
    </row>
    <row r="26" customFormat="1" s="17">
      <c r="B26" s="145" t="inlineStr">
        <is>
          <t>Kumulyatuv pul oqimi</t>
        </is>
      </c>
      <c r="C26" s="167">
        <f>C25</f>
        <v/>
      </c>
      <c r="D26" s="494">
        <f>D23+C26</f>
        <v/>
      </c>
      <c r="E26" s="494">
        <f>E23+D26</f>
        <v/>
      </c>
      <c r="F26" s="494">
        <f>F23+E26</f>
        <v/>
      </c>
      <c r="G26" s="494">
        <f>G23+F26</f>
        <v/>
      </c>
      <c r="H26" s="494">
        <f>H23+G26</f>
        <v/>
      </c>
      <c r="I26" s="494">
        <f>I23+H26</f>
        <v/>
      </c>
      <c r="J26" s="494">
        <f>J23+I26</f>
        <v/>
      </c>
    </row>
    <row r="27" ht="15.75" customHeight="1" s="532" thickBot="1">
      <c r="B27" s="165" t="inlineStr">
        <is>
          <t>Xizmat ko'rsatish omili. Qarz</t>
        </is>
      </c>
      <c r="C27" s="166" t="n"/>
      <c r="D27" s="495" t="inlineStr">
        <is>
          <t>-</t>
        </is>
      </c>
      <c r="E27" s="495" t="inlineStr">
        <is>
          <t>-</t>
        </is>
      </c>
      <c r="F27" s="495">
        <f>(F14-F19)/(F18+F22)</f>
        <v/>
      </c>
      <c r="G27" s="495">
        <f>(G14-G19)/(G18+G22)</f>
        <v/>
      </c>
      <c r="H27" s="495">
        <f>(H14-H19)/(H18+H22)</f>
        <v/>
      </c>
      <c r="I27" s="495">
        <f>(I14-I19)/(I18+I22)</f>
        <v/>
      </c>
      <c r="J27" s="495">
        <f>(J14-J19)/(J18+J22)</f>
        <v/>
      </c>
    </row>
    <row r="28" ht="15.75" customHeight="1" s="532" thickTop="1"/>
  </sheetData>
  <printOptions horizontalCentered="1" verticalCentered="1"/>
  <pageMargins left="0.3937007874015748" right="0.3937007874015748" top="0.3937007874015748" bottom="0.3937007874015748" header="0.5118110236220472" footer="0.3937007874015748"/>
  <pageSetup orientation="landscape" paperSize="9" scale="9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F20"/>
  <sheetViews>
    <sheetView view="pageBreakPreview" zoomScale="84" zoomScaleNormal="150" zoomScaleSheetLayoutView="84" workbookViewId="0">
      <selection activeCell="C15" sqref="C15"/>
    </sheetView>
  </sheetViews>
  <sheetFormatPr baseColWidth="8" defaultColWidth="8" defaultRowHeight="12.75"/>
  <cols>
    <col width="4.75" customWidth="1" style="168" min="1" max="1"/>
    <col width="15.5" customWidth="1" style="504" min="2" max="2"/>
    <col width="44.75" bestFit="1" customWidth="1" style="541" min="3" max="3"/>
    <col width="12.625" customWidth="1" style="542" min="4" max="4"/>
    <col width="18.375" customWidth="1" style="541" min="5" max="5"/>
    <col width="10.625" customWidth="1" style="541" min="6" max="6"/>
    <col width="7.75" customWidth="1" style="541" min="7" max="7"/>
    <col width="8" customWidth="1" style="504" min="8" max="8"/>
    <col width="12.5" customWidth="1" style="504" min="9" max="9"/>
    <col width="8" customWidth="1" style="504" min="10" max="42"/>
    <col width="8" customWidth="1" style="504" min="43" max="16384"/>
  </cols>
  <sheetData>
    <row r="3" ht="15" customHeight="1" s="532">
      <c r="D3" s="23" t="n"/>
      <c r="E3" s="268" t="inlineStr">
        <is>
          <t>14-ILOVA</t>
        </is>
      </c>
    </row>
    <row r="4" ht="16.5" customHeight="1" s="532">
      <c r="B4" s="540" t="inlineStr">
        <is>
          <t>Sof joriy qiymatni hisoblash</t>
        </is>
      </c>
    </row>
    <row r="5" ht="101.25" customHeight="1" s="532">
      <c r="B5" s="496" t="inlineStr">
        <is>
          <t>YIL</t>
        </is>
      </c>
      <c r="C5" s="496" t="inlineStr">
        <is>
          <t>Sof pul oqimi</t>
        </is>
      </c>
      <c r="D5" s="496" t="inlineStr">
        <is>
          <t>13,5% qayta moliyalash stavkasi bo'yicha chegirma koeffitsienti (o'rtacha tortilgan stavka)</t>
        </is>
      </c>
      <c r="E5" s="496" t="inlineStr">
        <is>
          <t>Pul oqimining joriy qiymati</t>
        </is>
      </c>
    </row>
    <row r="6">
      <c r="B6" s="496" t="inlineStr">
        <is>
          <t>Investitsion xarajatlar</t>
        </is>
      </c>
      <c r="C6" s="497" t="n">
        <v>-500000000</v>
      </c>
      <c r="D6" s="496" t="n"/>
      <c r="E6" s="496" t="n"/>
    </row>
    <row r="7">
      <c r="B7" s="496" t="inlineStr">
        <is>
          <t>1-yil</t>
        </is>
      </c>
      <c r="C7" s="497" t="n">
        <v>129167731.42</v>
      </c>
      <c r="D7" s="506" t="n">
        <v>0.8810572687224669</v>
      </c>
      <c r="E7" s="498" t="n">
        <v>113804168.6519824</v>
      </c>
      <c r="F7" s="556" t="n"/>
    </row>
    <row r="8">
      <c r="B8" s="496" t="inlineStr">
        <is>
          <t>2-yil</t>
        </is>
      </c>
      <c r="C8" s="497" t="n">
        <v>162165462.78</v>
      </c>
      <c r="D8" s="506" t="n">
        <v>0.7762619107686933</v>
      </c>
      <c r="E8" s="498" t="n">
        <v>125882871.9982922</v>
      </c>
      <c r="F8" s="556" t="n"/>
    </row>
    <row r="9">
      <c r="B9" s="496" t="inlineStr">
        <is>
          <t>3-yil</t>
        </is>
      </c>
      <c r="C9" s="497" t="n">
        <v>211815462.75</v>
      </c>
      <c r="D9" s="506" t="n">
        <v>0.6839311989151483</v>
      </c>
      <c r="E9" s="498" t="n">
        <v>144867203.3873744</v>
      </c>
      <c r="F9" s="556" t="n"/>
    </row>
    <row r="10">
      <c r="B10" s="496" t="inlineStr">
        <is>
          <t>4-yil</t>
        </is>
      </c>
      <c r="C10" s="497" t="n">
        <v>261465462.82</v>
      </c>
      <c r="D10" s="506" t="n">
        <v>0.6025825541102628</v>
      </c>
      <c r="E10" s="498" t="n">
        <v>157554526.3976976</v>
      </c>
      <c r="F10" s="556" t="n"/>
    </row>
    <row r="11">
      <c r="B11" s="496" t="inlineStr">
        <is>
          <t>5-yil</t>
        </is>
      </c>
      <c r="C11" s="497" t="n">
        <v>311115462.75</v>
      </c>
      <c r="D11" s="506" t="n">
        <v>0.5309097393041963</v>
      </c>
      <c r="E11" s="498" t="n">
        <v>165174229.2221069</v>
      </c>
      <c r="F11" s="556" t="n"/>
    </row>
    <row r="12">
      <c r="B12" s="496" t="inlineStr">
        <is>
          <t>6-yil</t>
        </is>
      </c>
      <c r="C12" s="497" t="n">
        <v>360765462.76</v>
      </c>
      <c r="D12" s="506" t="n">
        <v>0.4677618848495122</v>
      </c>
      <c r="E12" s="498" t="n">
        <v>168752332.8492241</v>
      </c>
      <c r="F12" s="556" t="n"/>
    </row>
    <row r="13">
      <c r="B13" s="496" t="inlineStr">
        <is>
          <t>7-yil</t>
        </is>
      </c>
      <c r="C13" s="497" t="n">
        <v>435415462.77</v>
      </c>
      <c r="D13" s="506" t="n">
        <v>0.4121250086779844</v>
      </c>
      <c r="E13" s="498" t="n">
        <v>179445601.3726148</v>
      </c>
      <c r="F13" s="556" t="n"/>
    </row>
    <row r="14">
      <c r="B14" s="470" t="n"/>
      <c r="C14" s="496" t="inlineStr">
        <is>
          <t>Jami joriy qiymat</t>
        </is>
      </c>
      <c r="D14" s="496" t="inlineStr">
        <is>
          <t>JJQ</t>
        </is>
      </c>
      <c r="E14" s="498">
        <f>SUM(E7:E11)</f>
        <v/>
      </c>
      <c r="F14" s="556" t="n"/>
    </row>
    <row r="15">
      <c r="B15" s="470" t="n"/>
      <c r="C15" s="496" t="inlineStr">
        <is>
          <t>Investitsion xarajatlar</t>
        </is>
      </c>
      <c r="D15" s="496" t="inlineStr">
        <is>
          <t>IX</t>
        </is>
      </c>
      <c r="E15" s="497">
        <f>C6</f>
        <v/>
      </c>
      <c r="F15" s="556" t="n"/>
    </row>
    <row r="16">
      <c r="B16" s="470" t="n"/>
      <c r="C16" s="470" t="inlineStr">
        <is>
          <t>Sof joriy qiymatni hisoblash (SJQ=JJQ-IX)</t>
        </is>
      </c>
      <c r="D16" s="496" t="inlineStr">
        <is>
          <t>SJQ</t>
        </is>
      </c>
      <c r="E16" s="498" t="n">
        <v>555480933.88</v>
      </c>
    </row>
    <row r="17">
      <c r="B17" s="470" t="n"/>
      <c r="C17" s="470" t="inlineStr">
        <is>
          <t>Investitsiyalar rentabelligi indeksini hisoblash IR=SJQ/IX+1</t>
        </is>
      </c>
      <c r="D17" s="496" t="inlineStr">
        <is>
          <t>IR</t>
        </is>
      </c>
      <c r="E17" s="499">
        <f>E16/E15+1</f>
        <v/>
      </c>
    </row>
    <row r="18">
      <c r="B18" s="470" t="n"/>
      <c r="C18" s="470" t="inlineStr">
        <is>
          <t>Ichki daromad darajasi</t>
        </is>
      </c>
      <c r="D18" s="496" t="inlineStr">
        <is>
          <t>IDD</t>
        </is>
      </c>
      <c r="E18" s="500" t="n">
        <v>37.34</v>
      </c>
    </row>
    <row r="19" ht="25.5" customHeight="1" s="532">
      <c r="B19" s="470" t="n"/>
      <c r="C19" s="309" t="inlineStr">
        <is>
          <t>Investitsiyalarni qaytarish muddati
diskontlangan pul oqimi loyihasi</t>
        </is>
      </c>
      <c r="D19" s="496" t="inlineStr">
        <is>
          <t>IQM</t>
        </is>
      </c>
      <c r="E19" s="498">
        <f>[2]Loans!D3</f>
        <v/>
      </c>
    </row>
    <row r="20" ht="15.75" customHeight="1" s="532">
      <c r="E20" s="169" t="n"/>
    </row>
    <row r="22" ht="15.75" customHeight="1" s="532"/>
    <row r="24" ht="15.75" customHeight="1" s="532"/>
    <row r="26" ht="15.75" customHeight="1" s="532"/>
    <row r="28" ht="15.75" customHeight="1" s="532"/>
    <row r="30" ht="15.75" customHeight="1" s="532"/>
    <row r="32" ht="15.75" customHeight="1" s="532"/>
    <row r="34" ht="15.75" customHeight="1" s="532"/>
    <row r="36" ht="15.75" customHeight="1" s="532"/>
    <row r="38" ht="15.75" customHeight="1" s="532"/>
    <row r="42" ht="15.75" customHeight="1" s="532"/>
    <row r="44" ht="15.75" customHeight="1" s="532"/>
    <row r="46" ht="15.75" customHeight="1" s="532"/>
    <row r="48" ht="15.75" customHeight="1" s="532"/>
    <row r="50" ht="15.75" customHeight="1" s="532"/>
    <row r="54" ht="15.75" customHeight="1" s="532"/>
    <row r="56" ht="15.75" customHeight="1" s="532"/>
    <row r="58" ht="15.75" customHeight="1" s="532"/>
    <row r="60" ht="15.75" customHeight="1" s="532"/>
    <row r="65" ht="15.75" customHeight="1" s="532"/>
    <row r="67" ht="15.75" customHeight="1" s="532"/>
    <row r="69" ht="15.75" customHeight="1" s="532"/>
    <row r="72" ht="15.75" customHeight="1" s="532"/>
    <row r="74" ht="15.75" customHeight="1" s="532"/>
    <row r="76" ht="15.75" customHeight="1" s="532"/>
    <row r="81" ht="15.75" customHeight="1" s="532"/>
    <row r="83" ht="15.75" customHeight="1" s="532"/>
    <row r="85" ht="15.75" customHeight="1" s="532"/>
    <row r="87" ht="15.75" customHeight="1" s="532"/>
  </sheetData>
  <mergeCells count="1">
    <mergeCell ref="B4:E4"/>
  </mergeCells>
  <printOptions horizontalCentered="1" verticalCentered="1"/>
  <pageMargins left="0.2362204724409449" right="0.1968503937007874" top="0.3937007874015748" bottom="0.3937007874015748" header="0.5118110236220472" footer="0.5118110236220472"/>
  <pageSetup orientation="landscape" paperSize="9" scale="140"/>
  <colBreaks count="1" manualBreakCount="1">
    <brk id="8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Хайдаров У</dc:creator>
  <dcterms:created xmlns:dcterms="http://purl.org/dc/terms/" xmlns:xsi="http://www.w3.org/2001/XMLSchema-instance" xsi:type="dcterms:W3CDTF">1999-09-15T12:13:17Z</dcterms:created>
  <dcterms:modified xmlns:dcterms="http://purl.org/dc/terms/" xmlns:xsi="http://www.w3.org/2001/XMLSchema-instance" xsi:type="dcterms:W3CDTF">2026-04-24T11:57:22Z</dcterms:modified>
  <cp:lastModifiedBy>2025</cp:lastModifiedBy>
  <cp:lastPrinted>2026-04-06T07:51:16Z</cp:lastPrinted>
</cp:coreProperties>
</file>